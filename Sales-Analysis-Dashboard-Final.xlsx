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Kavya\Desktop\aiml\3.EXCEL\"/>
    </mc:Choice>
  </mc:AlternateContent>
  <xr:revisionPtr revIDLastSave="0" documentId="8_{C4B2D3EB-36AD-4ADB-9F63-217A9978DF21}" xr6:coauthVersionLast="47" xr6:coauthVersionMax="47" xr10:uidLastSave="{00000000-0000-0000-0000-000000000000}"/>
  <bookViews>
    <workbookView xWindow="-108" yWindow="-108" windowWidth="23256" windowHeight="12456" activeTab="3" xr2:uid="{02CAB8C2-2545-43DE-9199-541CC2B601AF}"/>
  </bookViews>
  <sheets>
    <sheet name="Raw_Data" sheetId="1" r:id="rId1"/>
    <sheet name="Analysis" sheetId="2" r:id="rId2"/>
    <sheet name="visuals" sheetId="5" r:id="rId3"/>
    <sheet name="Dashboard" sheetId="4" r:id="rId4"/>
  </sheets>
  <definedNames>
    <definedName name="Slicer_Category">#N/A</definedName>
    <definedName name="Slicer_Payment_Method">#N/A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 i="1"/>
</calcChain>
</file>

<file path=xl/sharedStrings.xml><?xml version="1.0" encoding="utf-8"?>
<sst xmlns="http://schemas.openxmlformats.org/spreadsheetml/2006/main" count="1860" uniqueCount="420">
  <si>
    <t>CustomerID</t>
  </si>
  <si>
    <t>Customer Name</t>
  </si>
  <si>
    <t>Product Name</t>
  </si>
  <si>
    <t>Category</t>
  </si>
  <si>
    <t>Region</t>
  </si>
  <si>
    <t>Date</t>
  </si>
  <si>
    <t>Quantity</t>
  </si>
  <si>
    <t>Price (₹)</t>
  </si>
  <si>
    <t>Total Amount (₹)</t>
  </si>
  <si>
    <t>Payment Method</t>
  </si>
  <si>
    <t>CUST0015</t>
  </si>
  <si>
    <t>Rahul Sharma</t>
  </si>
  <si>
    <t>Coffee 200g</t>
  </si>
  <si>
    <t>Grocery</t>
  </si>
  <si>
    <t>South</t>
  </si>
  <si>
    <t>14-05-2024</t>
  </si>
  <si>
    <t>Card</t>
  </si>
  <si>
    <t>CUST0014</t>
  </si>
  <si>
    <t>Arjun Rao</t>
  </si>
  <si>
    <t>Academic Textbook</t>
  </si>
  <si>
    <t>Books</t>
  </si>
  <si>
    <t>07-11-2024</t>
  </si>
  <si>
    <t>Cash</t>
  </si>
  <si>
    <t>CUST0048</t>
  </si>
  <si>
    <t>Rekha Iyer</t>
  </si>
  <si>
    <t>Children's Book</t>
  </si>
  <si>
    <t>East</t>
  </si>
  <si>
    <t>01-01-2024</t>
  </si>
  <si>
    <t>UPI</t>
  </si>
  <si>
    <t>CUST0003</t>
  </si>
  <si>
    <t>Pooja Shah</t>
  </si>
  <si>
    <t>Smartwatch</t>
  </si>
  <si>
    <t>Electronics</t>
  </si>
  <si>
    <t>North</t>
  </si>
  <si>
    <t>02-05-2024</t>
  </si>
  <si>
    <t>CUST0073</t>
  </si>
  <si>
    <t>Suresh Agarwal</t>
  </si>
  <si>
    <t>Laptop</t>
  </si>
  <si>
    <t>29-09-2024</t>
  </si>
  <si>
    <t>CUST0061</t>
  </si>
  <si>
    <t>Ritu Iyer</t>
  </si>
  <si>
    <t>Shampoo</t>
  </si>
  <si>
    <t>Beauty</t>
  </si>
  <si>
    <t>04-08-2024</t>
  </si>
  <si>
    <t>CUST0026</t>
  </si>
  <si>
    <t>Ritu Chopra</t>
  </si>
  <si>
    <t>Badminton Racket</t>
  </si>
  <si>
    <t>Sports</t>
  </si>
  <si>
    <t>West</t>
  </si>
  <si>
    <t>12-08-2024</t>
  </si>
  <si>
    <t>CUST0032</t>
  </si>
  <si>
    <t>Raj Joshi</t>
  </si>
  <si>
    <t>Women's Kurti</t>
  </si>
  <si>
    <t>Clothing</t>
  </si>
  <si>
    <t>10-10-2024</t>
  </si>
  <si>
    <t>CUST0029</t>
  </si>
  <si>
    <t>Rohit Iyer</t>
  </si>
  <si>
    <t>27-04-2024</t>
  </si>
  <si>
    <t>CUST0043</t>
  </si>
  <si>
    <t>Mohan Verma</t>
  </si>
  <si>
    <t>Smart TV</t>
  </si>
  <si>
    <t>19-04-2024</t>
  </si>
  <si>
    <t>CUST0074</t>
  </si>
  <si>
    <t>Sunita Chopra</t>
  </si>
  <si>
    <t>Hair Oil</t>
  </si>
  <si>
    <t>27-07-2024</t>
  </si>
  <si>
    <t>CUST0013</t>
  </si>
  <si>
    <t>Meera Shah</t>
  </si>
  <si>
    <t>Water Bottle</t>
  </si>
  <si>
    <t>27-08-2024</t>
  </si>
  <si>
    <t>Bluetooth Speaker</t>
  </si>
  <si>
    <t>07-05-2024</t>
  </si>
  <si>
    <t>CUST0069</t>
  </si>
  <si>
    <t>Swati Gupta</t>
  </si>
  <si>
    <t>Home &amp; Kitchen</t>
  </si>
  <si>
    <t>24-08-2024</t>
  </si>
  <si>
    <t>CUST0057</t>
  </si>
  <si>
    <t>Vikram Malhotra</t>
  </si>
  <si>
    <t>Self-Help Book</t>
  </si>
  <si>
    <t>08-01-2024</t>
  </si>
  <si>
    <t>CUST0022</t>
  </si>
  <si>
    <t>Suresh Gupta</t>
  </si>
  <si>
    <t>Curtains</t>
  </si>
  <si>
    <t>31-01-2024</t>
  </si>
  <si>
    <t>CUST0001</t>
  </si>
  <si>
    <t>Deepak Gupta</t>
  </si>
  <si>
    <t>Storage Container Set</t>
  </si>
  <si>
    <t>26-05-2024</t>
  </si>
  <si>
    <t>CUST0072</t>
  </si>
  <si>
    <t>Sunita Verma</t>
  </si>
  <si>
    <t>Resistance Bands</t>
  </si>
  <si>
    <t>21-04-2024</t>
  </si>
  <si>
    <t>CUST0070</t>
  </si>
  <si>
    <t>Karan Mehta</t>
  </si>
  <si>
    <t>01-09-2024</t>
  </si>
  <si>
    <t>CUST0066</t>
  </si>
  <si>
    <t>Pooja Singh</t>
  </si>
  <si>
    <t>Wireless Earbuds</t>
  </si>
  <si>
    <t>11-12-2024</t>
  </si>
  <si>
    <t>CUST0016</t>
  </si>
  <si>
    <t>Sanjay Mehta</t>
  </si>
  <si>
    <t>Body Lotion</t>
  </si>
  <si>
    <t>13-11-2024</t>
  </si>
  <si>
    <t>CUST0075</t>
  </si>
  <si>
    <t>Nikhil Nair</t>
  </si>
  <si>
    <t>Perfume</t>
  </si>
  <si>
    <t>08-12-2024</t>
  </si>
  <si>
    <t>CUST0034</t>
  </si>
  <si>
    <t>Priya Shah</t>
  </si>
  <si>
    <t>22-08-2024</t>
  </si>
  <si>
    <t>CUST0002</t>
  </si>
  <si>
    <t>Aarav Nair</t>
  </si>
  <si>
    <t>Non-stick Pan</t>
  </si>
  <si>
    <t>16-09-2024</t>
  </si>
  <si>
    <t>CUST0045</t>
  </si>
  <si>
    <t>Shreya Shah</t>
  </si>
  <si>
    <t>CUST0068</t>
  </si>
  <si>
    <t>Rohit Patel</t>
  </si>
  <si>
    <t>Tablet</t>
  </si>
  <si>
    <t>09-03-2024</t>
  </si>
  <si>
    <t>Running Shoes</t>
  </si>
  <si>
    <t>17-04-2024</t>
  </si>
  <si>
    <t>17-02-2024</t>
  </si>
  <si>
    <t>CUST0006</t>
  </si>
  <si>
    <t>Rohit Rao</t>
  </si>
  <si>
    <t>23-03-2024</t>
  </si>
  <si>
    <t>CUST0055</t>
  </si>
  <si>
    <t>Rekha Rao</t>
  </si>
  <si>
    <t>Face Wash</t>
  </si>
  <si>
    <t>06-10-2024</t>
  </si>
  <si>
    <t>06-06-2024</t>
  </si>
  <si>
    <t>CUST0046</t>
  </si>
  <si>
    <t>Anjali Chopra</t>
  </si>
  <si>
    <t>Formal Shirt</t>
  </si>
  <si>
    <t>13-10-2024</t>
  </si>
  <si>
    <t>CUST0020</t>
  </si>
  <si>
    <t>Sanjay Kumar</t>
  </si>
  <si>
    <t>Jeans</t>
  </si>
  <si>
    <t>30-07-2024</t>
  </si>
  <si>
    <t>Biography</t>
  </si>
  <si>
    <t>16-05-2024</t>
  </si>
  <si>
    <t>Pressure Cooker</t>
  </si>
  <si>
    <t>12-04-2024</t>
  </si>
  <si>
    <t>CUST0040</t>
  </si>
  <si>
    <t>Anjali Mishra</t>
  </si>
  <si>
    <t>Cookbook</t>
  </si>
  <si>
    <t>23-07-2024</t>
  </si>
  <si>
    <t>CUST0009</t>
  </si>
  <si>
    <t>Vikram Shah</t>
  </si>
  <si>
    <t>Atta 10kg</t>
  </si>
  <si>
    <t>20-01-2024</t>
  </si>
  <si>
    <t>CUST0056</t>
  </si>
  <si>
    <t>Anil Kumar</t>
  </si>
  <si>
    <t>Tea 500g</t>
  </si>
  <si>
    <t>29-02-2024</t>
  </si>
  <si>
    <t>CUST0025</t>
  </si>
  <si>
    <t>Pallavi Patel</t>
  </si>
  <si>
    <t>Basmati Rice 5kg</t>
  </si>
  <si>
    <t>23-09-2024</t>
  </si>
  <si>
    <t>02-06-2024</t>
  </si>
  <si>
    <t>CUST0053</t>
  </si>
  <si>
    <t>Suresh Nair</t>
  </si>
  <si>
    <t>06-03-2024</t>
  </si>
  <si>
    <t>CUST0049</t>
  </si>
  <si>
    <t>Pooja Kumar</t>
  </si>
  <si>
    <t>26-07-2024</t>
  </si>
  <si>
    <t>CUST0037</t>
  </si>
  <si>
    <t>Shorts</t>
  </si>
  <si>
    <t>01-12-2024</t>
  </si>
  <si>
    <t>Mixer Grinder</t>
  </si>
  <si>
    <t>03-12-2024</t>
  </si>
  <si>
    <t>Cycling Gloves</t>
  </si>
  <si>
    <t>10-12-2024</t>
  </si>
  <si>
    <t>Men's T-Shirt</t>
  </si>
  <si>
    <t>08-11-2024</t>
  </si>
  <si>
    <t>CUST0054</t>
  </si>
  <si>
    <t>Rohit Joshi</t>
  </si>
  <si>
    <t>Cricket Bat</t>
  </si>
  <si>
    <t>10-09-2024</t>
  </si>
  <si>
    <t>CUST0019</t>
  </si>
  <si>
    <t>Karan Joshi</t>
  </si>
  <si>
    <t>Yoga Mat</t>
  </si>
  <si>
    <t>05-08-2024</t>
  </si>
  <si>
    <t>CUST0067</t>
  </si>
  <si>
    <t>Nikhil Malhotra</t>
  </si>
  <si>
    <t>21-08-2024</t>
  </si>
  <si>
    <t>09-11-2024</t>
  </si>
  <si>
    <t>CUST0058</t>
  </si>
  <si>
    <t>Suresh Chopra</t>
  </si>
  <si>
    <t>Ethnic Wear</t>
  </si>
  <si>
    <t>22-11-2024</t>
  </si>
  <si>
    <t>CUST0063</t>
  </si>
  <si>
    <t>Ritu Rao</t>
  </si>
  <si>
    <t>31-12-2024</t>
  </si>
  <si>
    <t>CUST0035</t>
  </si>
  <si>
    <t>Sanjay Reddy</t>
  </si>
  <si>
    <t>11-03-2024</t>
  </si>
  <si>
    <t>CUST0050</t>
  </si>
  <si>
    <t>Vijay Patel</t>
  </si>
  <si>
    <t>31-07-2024</t>
  </si>
  <si>
    <t>Pillow</t>
  </si>
  <si>
    <t>18-07-2024</t>
  </si>
  <si>
    <t>11-08-2024</t>
  </si>
  <si>
    <t>CUST0076</t>
  </si>
  <si>
    <t>Shreya Sharma</t>
  </si>
  <si>
    <t>10-03-2024</t>
  </si>
  <si>
    <t>CUST0007</t>
  </si>
  <si>
    <t>Meera Patel</t>
  </si>
  <si>
    <t>16-06-2024</t>
  </si>
  <si>
    <t>CUST0036</t>
  </si>
  <si>
    <t>Rohit Shah</t>
  </si>
  <si>
    <t>28-08-2024</t>
  </si>
  <si>
    <t>29-11-2024</t>
  </si>
  <si>
    <t>05-03-2024</t>
  </si>
  <si>
    <t>07-07-2024</t>
  </si>
  <si>
    <t>CUST0078</t>
  </si>
  <si>
    <t>Ananya Iyer</t>
  </si>
  <si>
    <t>Dumbbells Set</t>
  </si>
  <si>
    <t>08-06-2024</t>
  </si>
  <si>
    <t>CUST0004</t>
  </si>
  <si>
    <t>Karan Gupta</t>
  </si>
  <si>
    <t>08-02-2024</t>
  </si>
  <si>
    <t>CUST0039</t>
  </si>
  <si>
    <t>Arjun Mishra</t>
  </si>
  <si>
    <t>22-01-2024</t>
  </si>
  <si>
    <t>07-01-2024</t>
  </si>
  <si>
    <t>Bedsheet Set</t>
  </si>
  <si>
    <t>28-12-2024</t>
  </si>
  <si>
    <t>CUST0023</t>
  </si>
  <si>
    <t>Kavya Mishra</t>
  </si>
  <si>
    <t>04-09-2024</t>
  </si>
  <si>
    <t>22-05-2024</t>
  </si>
  <si>
    <t>CUST0060</t>
  </si>
  <si>
    <t>Karan Shah</t>
  </si>
  <si>
    <t>Sunscreen</t>
  </si>
  <si>
    <t>15-06-2024</t>
  </si>
  <si>
    <t>CUST0028</t>
  </si>
  <si>
    <t>Rekha Agarwal</t>
  </si>
  <si>
    <t>Sugar 1kg</t>
  </si>
  <si>
    <t>25-12-2024</t>
  </si>
  <si>
    <t>07-09-2024</t>
  </si>
  <si>
    <t>CUST0052</t>
  </si>
  <si>
    <t>Pallavi Kumar</t>
  </si>
  <si>
    <t>18-06-2024</t>
  </si>
  <si>
    <t>CUST0059</t>
  </si>
  <si>
    <t>Karan Nair</t>
  </si>
  <si>
    <t>08-04-2024</t>
  </si>
  <si>
    <t>21-05-2024</t>
  </si>
  <si>
    <t>Dal 1kg</t>
  </si>
  <si>
    <t>Lipstick</t>
  </si>
  <si>
    <t>23-06-2024</t>
  </si>
  <si>
    <t>CUST0033</t>
  </si>
  <si>
    <t>Business Book</t>
  </si>
  <si>
    <t>24-07-2024</t>
  </si>
  <si>
    <t>04-06-2024</t>
  </si>
  <si>
    <t>25-04-2024</t>
  </si>
  <si>
    <t>Cooking Oil 5L</t>
  </si>
  <si>
    <t>09-10-2024</t>
  </si>
  <si>
    <t>29-05-2024</t>
  </si>
  <si>
    <t>06-02-2024</t>
  </si>
  <si>
    <t>Smartphone</t>
  </si>
  <si>
    <t>31-10-2024</t>
  </si>
  <si>
    <t>13-09-2024</t>
  </si>
  <si>
    <t>CUST0011</t>
  </si>
  <si>
    <t>Aarav Iyer</t>
  </si>
  <si>
    <t>05-11-2024</t>
  </si>
  <si>
    <t>CUST0012</t>
  </si>
  <si>
    <t>Vikram Iyer</t>
  </si>
  <si>
    <t>22-10-2024</t>
  </si>
  <si>
    <t>26-10-2024</t>
  </si>
  <si>
    <t>Power Bank</t>
  </si>
  <si>
    <t>13-06-2024</t>
  </si>
  <si>
    <t>08-10-2024</t>
  </si>
  <si>
    <t>20-09-2024</t>
  </si>
  <si>
    <t>04-07-2024</t>
  </si>
  <si>
    <t>Fiction Novel</t>
  </si>
  <si>
    <t>08-03-2024</t>
  </si>
  <si>
    <t>CUST0071</t>
  </si>
  <si>
    <t>Pallavi Tiwari</t>
  </si>
  <si>
    <t>17-09-2024</t>
  </si>
  <si>
    <t>02-10-2024</t>
  </si>
  <si>
    <t>06-04-2024</t>
  </si>
  <si>
    <t>27-12-2024</t>
  </si>
  <si>
    <t>28-07-2024</t>
  </si>
  <si>
    <t>28-11-2024</t>
  </si>
  <si>
    <t>04-10-2024</t>
  </si>
  <si>
    <t>Saree</t>
  </si>
  <si>
    <t>10-08-2024</t>
  </si>
  <si>
    <t>24-01-2024</t>
  </si>
  <si>
    <t>CUST0038</t>
  </si>
  <si>
    <t>28-09-2024</t>
  </si>
  <si>
    <t>CUST0024</t>
  </si>
  <si>
    <t>Sunita Nair</t>
  </si>
  <si>
    <t>23-08-2024</t>
  </si>
  <si>
    <t>21-03-2024</t>
  </si>
  <si>
    <t>19-12-2024</t>
  </si>
  <si>
    <t>01-05-2024</t>
  </si>
  <si>
    <t>12-01-2024</t>
  </si>
  <si>
    <t>17-11-2024</t>
  </si>
  <si>
    <t>Spice Mix</t>
  </si>
  <si>
    <t>CUST0042</t>
  </si>
  <si>
    <t>Ananya Nair</t>
  </si>
  <si>
    <t>03-10-2024</t>
  </si>
  <si>
    <t>CUST0065</t>
  </si>
  <si>
    <t>Suresh Mishra</t>
  </si>
  <si>
    <t>31-05-2024</t>
  </si>
  <si>
    <t>12-12-2024</t>
  </si>
  <si>
    <t>CUST0047</t>
  </si>
  <si>
    <t>04-03-2024</t>
  </si>
  <si>
    <t>25-02-2024</t>
  </si>
  <si>
    <t>27-11-2024</t>
  </si>
  <si>
    <t>12-03-2024</t>
  </si>
  <si>
    <t>CUST0079</t>
  </si>
  <si>
    <t>Sanjay Nair</t>
  </si>
  <si>
    <t>CUST0031</t>
  </si>
  <si>
    <t>Anil Mishra</t>
  </si>
  <si>
    <t>Comic Book</t>
  </si>
  <si>
    <t>05-10-2024</t>
  </si>
  <si>
    <t>CUST0051</t>
  </si>
  <si>
    <t>Pooja Patel</t>
  </si>
  <si>
    <t>16-02-2024</t>
  </si>
  <si>
    <t>CUST0077</t>
  </si>
  <si>
    <t>Ananya Gupta</t>
  </si>
  <si>
    <t>17-06-2024</t>
  </si>
  <si>
    <t>08-05-2024</t>
  </si>
  <si>
    <t>28-10-2024</t>
  </si>
  <si>
    <t>26-09-2024</t>
  </si>
  <si>
    <t>30-10-2024</t>
  </si>
  <si>
    <t>03-06-2024</t>
  </si>
  <si>
    <t>17-12-2024</t>
  </si>
  <si>
    <t>03-02-2024</t>
  </si>
  <si>
    <t>CUST0080</t>
  </si>
  <si>
    <t>10-07-2024</t>
  </si>
  <si>
    <t>09-08-2024</t>
  </si>
  <si>
    <t>14-10-2024</t>
  </si>
  <si>
    <t>27-01-2024</t>
  </si>
  <si>
    <t>20-03-2024</t>
  </si>
  <si>
    <t>20-10-2024</t>
  </si>
  <si>
    <t>15-01-2024</t>
  </si>
  <si>
    <t>16-10-2024</t>
  </si>
  <si>
    <t>20-04-2024</t>
  </si>
  <si>
    <t>17-10-2024</t>
  </si>
  <si>
    <t>14-08-2024</t>
  </si>
  <si>
    <t>28-02-2024</t>
  </si>
  <si>
    <t>30-03-2024</t>
  </si>
  <si>
    <t>09-06-2024</t>
  </si>
  <si>
    <t>11-01-2024</t>
  </si>
  <si>
    <t>04-05-2024</t>
  </si>
  <si>
    <t>Moisturizer</t>
  </si>
  <si>
    <t>22-06-2024</t>
  </si>
  <si>
    <t>27-06-2024</t>
  </si>
  <si>
    <t>29-03-2024</t>
  </si>
  <si>
    <t>CUST0010</t>
  </si>
  <si>
    <t>Nikhil Das</t>
  </si>
  <si>
    <t>23-10-2024</t>
  </si>
  <si>
    <t>18-03-2024</t>
  </si>
  <si>
    <t>29-01-2024</t>
  </si>
  <si>
    <t>18-08-2024</t>
  </si>
  <si>
    <t>13-12-2024</t>
  </si>
  <si>
    <t>25-05-2024</t>
  </si>
  <si>
    <t>05-12-2024</t>
  </si>
  <si>
    <t>07-06-2024</t>
  </si>
  <si>
    <t>CUST0044</t>
  </si>
  <si>
    <t>Sunita Mehta</t>
  </si>
  <si>
    <t>24-03-2024</t>
  </si>
  <si>
    <t>29-07-2024</t>
  </si>
  <si>
    <t>29-04-2024</t>
  </si>
  <si>
    <t>13-08-2024</t>
  </si>
  <si>
    <t>22-02-2024</t>
  </si>
  <si>
    <t>16-03-2024</t>
  </si>
  <si>
    <t>CUST0041</t>
  </si>
  <si>
    <t>Kavya Joshi</t>
  </si>
  <si>
    <t>CUST0018</t>
  </si>
  <si>
    <t>Amit Nair</t>
  </si>
  <si>
    <t>10-02-2024</t>
  </si>
  <si>
    <t>27-09-2024</t>
  </si>
  <si>
    <t>02-08-2024</t>
  </si>
  <si>
    <t>19-11-2024</t>
  </si>
  <si>
    <t>03-05-2024</t>
  </si>
  <si>
    <t>09-01-2024</t>
  </si>
  <si>
    <t>22-12-2024</t>
  </si>
  <si>
    <t>19-01-2024</t>
  </si>
  <si>
    <t>22-09-2024</t>
  </si>
  <si>
    <t>16-08-2024</t>
  </si>
  <si>
    <t>10-11-2024</t>
  </si>
  <si>
    <t>CUST0008</t>
  </si>
  <si>
    <t>Aarav Verma</t>
  </si>
  <si>
    <t>16-01-2024</t>
  </si>
  <si>
    <t>CUST0005</t>
  </si>
  <si>
    <t>09-07-2024</t>
  </si>
  <si>
    <t>Jacket</t>
  </si>
  <si>
    <t>14-02-2024</t>
  </si>
  <si>
    <t>Month</t>
  </si>
  <si>
    <t>Year</t>
  </si>
  <si>
    <t>High Value</t>
  </si>
  <si>
    <t>Top Customers (High Value Transactions)</t>
  </si>
  <si>
    <t>Total High Value Customers</t>
  </si>
  <si>
    <t>Product</t>
  </si>
  <si>
    <t>Qty</t>
  </si>
  <si>
    <t>Price</t>
  </si>
  <si>
    <t>Amount</t>
  </si>
  <si>
    <t>Payment</t>
  </si>
  <si>
    <t>May</t>
  </si>
  <si>
    <t>High</t>
  </si>
  <si>
    <t>Sep</t>
  </si>
  <si>
    <t>Apr</t>
  </si>
  <si>
    <t>Aug</t>
  </si>
  <si>
    <t>Mar</t>
  </si>
  <si>
    <t>Jun</t>
  </si>
  <si>
    <t>Nov</t>
  </si>
  <si>
    <t>Oct</t>
  </si>
  <si>
    <t>Feb</t>
  </si>
  <si>
    <t>Jan</t>
  </si>
  <si>
    <t>Row Labels</t>
  </si>
  <si>
    <t>Grand Total</t>
  </si>
  <si>
    <t>Sum of Total Amount (₹)</t>
  </si>
  <si>
    <t>Jul</t>
  </si>
  <si>
    <t>Dec</t>
  </si>
  <si>
    <t>SALES ANALYSIS DASHBOARD</t>
  </si>
  <si>
    <t>Total Sales = ₹17,84,210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</si>
</sst>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9" x14ac:knownFonts="1">
    <font>
      <sz val="11"/>
      <color theme="1"/>
      <name val="Calibri"/>
      <family val="2"/>
      <scheme val="minor"/>
    </font>
    <font>
      <b/>
      <sz val="11"/>
      <color rgb="FFFFFFFF"/>
      <name val="Arial"/>
    </font>
    <font>
      <sz val="10"/>
      <name val="Arial"/>
    </font>
    <font>
      <b/>
      <sz val="14"/>
      <color theme="0"/>
      <name val="Calibri"/>
      <family val="2"/>
      <scheme val="minor"/>
    </font>
    <font>
      <b/>
      <sz val="18"/>
      <color theme="0"/>
      <name val="Calibri"/>
      <family val="2"/>
      <scheme val="minor"/>
    </font>
    <font>
      <sz val="20"/>
      <color theme="1"/>
      <name val="Calibri"/>
      <family val="2"/>
      <scheme val="minor"/>
    </font>
    <font>
      <b/>
      <sz val="11"/>
      <color rgb="FFFFFFFF"/>
      <name val="Arial"/>
      <family val="2"/>
    </font>
    <font>
      <b/>
      <sz val="16"/>
      <color theme="0"/>
      <name val="Calibri"/>
      <family val="2"/>
      <scheme val="minor"/>
    </font>
    <font>
      <sz val="28"/>
      <color theme="0"/>
      <name val="Calibri"/>
      <family val="2"/>
      <scheme val="minor"/>
    </font>
  </fonts>
  <fills count="9">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499984740745262"/>
        <bgColor indexed="64"/>
      </patternFill>
    </fill>
  </fills>
  <borders count="18">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xf>
    <xf numFmtId="0" fontId="2" fillId="3" borderId="1" xfId="0" applyFont="1" applyFill="1" applyBorder="1"/>
    <xf numFmtId="4" fontId="2" fillId="3" borderId="1" xfId="0" applyNumberFormat="1" applyFont="1" applyFill="1" applyBorder="1"/>
    <xf numFmtId="0" fontId="2" fillId="4" borderId="1" xfId="0" applyFont="1" applyFill="1" applyBorder="1" applyAlignment="1">
      <alignment horizontal="center"/>
    </xf>
    <xf numFmtId="0" fontId="2" fillId="4" borderId="1" xfId="0" applyFont="1" applyFill="1" applyBorder="1"/>
    <xf numFmtId="4" fontId="2" fillId="4" borderId="1" xfId="0" applyNumberFormat="1" applyFont="1" applyFill="1" applyBorder="1"/>
    <xf numFmtId="0" fontId="1" fillId="2" borderId="2" xfId="0" applyFont="1" applyFill="1" applyBorder="1" applyAlignment="1">
      <alignment horizontal="center" vertical="center"/>
    </xf>
    <xf numFmtId="0" fontId="0" fillId="0" borderId="0" xfId="0" applyAlignment="1"/>
    <xf numFmtId="0" fontId="0" fillId="6" borderId="3" xfId="0" applyFill="1" applyBorder="1" applyAlignment="1"/>
    <xf numFmtId="168" fontId="0" fillId="6" borderId="3" xfId="0" applyNumberFormat="1" applyFill="1" applyBorder="1" applyAlignment="1"/>
    <xf numFmtId="168" fontId="0" fillId="0" borderId="0" xfId="0" applyNumberFormat="1"/>
    <xf numFmtId="0" fontId="0" fillId="6" borderId="3" xfId="0" applyNumberFormat="1" applyFill="1" applyBorder="1" applyAlignment="1"/>
    <xf numFmtId="0" fontId="0" fillId="0" borderId="0" xfId="0" applyNumberFormat="1"/>
    <xf numFmtId="0" fontId="0" fillId="6" borderId="4" xfId="0" applyFill="1" applyBorder="1" applyAlignment="1">
      <alignment wrapText="1"/>
    </xf>
    <xf numFmtId="0" fontId="0" fillId="6" borderId="5" xfId="0" applyFill="1" applyBorder="1" applyAlignment="1">
      <alignment wrapText="1"/>
    </xf>
    <xf numFmtId="0" fontId="0" fillId="6" borderId="5" xfId="0" applyNumberFormat="1" applyFill="1" applyBorder="1" applyAlignment="1">
      <alignment wrapText="1"/>
    </xf>
    <xf numFmtId="168" fontId="0" fillId="6" borderId="5" xfId="0" applyNumberFormat="1" applyFill="1" applyBorder="1" applyAlignment="1">
      <alignment wrapText="1"/>
    </xf>
    <xf numFmtId="0" fontId="0" fillId="6" borderId="6" xfId="0" applyFill="1" applyBorder="1" applyAlignment="1">
      <alignment wrapText="1"/>
    </xf>
    <xf numFmtId="0" fontId="0" fillId="6" borderId="7" xfId="0" applyFill="1" applyBorder="1" applyAlignment="1"/>
    <xf numFmtId="0" fontId="0" fillId="6" borderId="8" xfId="0" applyFill="1" applyBorder="1" applyAlignment="1"/>
    <xf numFmtId="0" fontId="0" fillId="6" borderId="9" xfId="0" applyFill="1" applyBorder="1" applyAlignment="1"/>
    <xf numFmtId="0" fontId="0" fillId="6" borderId="10" xfId="0" applyFill="1" applyBorder="1" applyAlignment="1"/>
    <xf numFmtId="0" fontId="0" fillId="6" borderId="10" xfId="0" applyNumberFormat="1" applyFill="1" applyBorder="1" applyAlignment="1"/>
    <xf numFmtId="168" fontId="0" fillId="6" borderId="10" xfId="0" applyNumberFormat="1" applyFill="1" applyBorder="1" applyAlignment="1"/>
    <xf numFmtId="0" fontId="0" fillId="6" borderId="11" xfId="0" applyFill="1" applyBorder="1" applyAlignment="1"/>
    <xf numFmtId="0" fontId="3" fillId="5" borderId="4" xfId="0" applyFont="1" applyFill="1" applyBorder="1" applyAlignment="1">
      <alignment horizontal="center"/>
    </xf>
    <xf numFmtId="0" fontId="3" fillId="5" borderId="5" xfId="0" applyFont="1" applyFill="1" applyBorder="1" applyAlignment="1">
      <alignment horizontal="center"/>
    </xf>
    <xf numFmtId="0" fontId="3" fillId="5" borderId="6" xfId="0" applyFont="1" applyFill="1" applyBorder="1" applyAlignment="1">
      <alignment horizontal="center"/>
    </xf>
    <xf numFmtId="0" fontId="4" fillId="5" borderId="12" xfId="0" applyFont="1" applyFill="1" applyBorder="1" applyAlignment="1">
      <alignment horizontal="center"/>
    </xf>
    <xf numFmtId="0" fontId="4" fillId="5" borderId="13" xfId="0" applyFont="1" applyFill="1" applyBorder="1" applyAlignment="1">
      <alignment horizontal="center"/>
    </xf>
    <xf numFmtId="0" fontId="4" fillId="5" borderId="14" xfId="0" applyFont="1" applyFill="1" applyBorder="1" applyAlignment="1">
      <alignment horizontal="center"/>
    </xf>
    <xf numFmtId="0" fontId="5" fillId="6" borderId="15" xfId="0" applyNumberFormat="1" applyFont="1" applyFill="1" applyBorder="1" applyAlignment="1">
      <alignment horizontal="center" wrapText="1"/>
    </xf>
    <xf numFmtId="0" fontId="5" fillId="6" borderId="16" xfId="0" applyNumberFormat="1" applyFont="1" applyFill="1" applyBorder="1" applyAlignment="1">
      <alignment horizontal="center" wrapText="1"/>
    </xf>
    <xf numFmtId="0" fontId="5" fillId="6" borderId="17" xfId="0" applyNumberFormat="1" applyFont="1" applyFill="1" applyBorder="1" applyAlignment="1">
      <alignment horizontal="center" wrapText="1"/>
    </xf>
    <xf numFmtId="0" fontId="6" fillId="2" borderId="1" xfId="0" applyFont="1" applyFill="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0" fontId="7" fillId="7" borderId="12" xfId="0" applyFont="1" applyFill="1" applyBorder="1" applyAlignment="1">
      <alignment horizontal="center"/>
    </xf>
    <xf numFmtId="0" fontId="7" fillId="7" borderId="13" xfId="0" applyFont="1" applyFill="1" applyBorder="1" applyAlignment="1">
      <alignment horizontal="center"/>
    </xf>
    <xf numFmtId="0" fontId="7" fillId="7" borderId="14" xfId="0" applyFont="1" applyFill="1" applyBorder="1" applyAlignment="1">
      <alignment horizontal="center"/>
    </xf>
    <xf numFmtId="0" fontId="8" fillId="8"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Category</a:t>
            </a:r>
          </a:p>
        </c:rich>
      </c:tx>
      <c:layout>
        <c:manualLayout>
          <c:xMode val="edge"/>
          <c:yMode val="edge"/>
          <c:x val="0.34861251665400561"/>
          <c:y val="2.318901692386289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visuals!$A$4:$A$11</c:f>
              <c:strCache>
                <c:ptCount val="7"/>
                <c:pt idx="0">
                  <c:v>Beauty</c:v>
                </c:pt>
                <c:pt idx="1">
                  <c:v>Books</c:v>
                </c:pt>
                <c:pt idx="2">
                  <c:v>Clothing</c:v>
                </c:pt>
                <c:pt idx="3">
                  <c:v>Electronics</c:v>
                </c:pt>
                <c:pt idx="4">
                  <c:v>Grocery</c:v>
                </c:pt>
                <c:pt idx="5">
                  <c:v>Home &amp; Kitchen</c:v>
                </c:pt>
                <c:pt idx="6">
                  <c:v>Sports</c:v>
                </c:pt>
              </c:strCache>
            </c:strRef>
          </c:cat>
          <c:val>
            <c:numRef>
              <c:f>visuals!$B$4:$B$11</c:f>
              <c:numCache>
                <c:formatCode>#,##0.00</c:formatCode>
                <c:ptCount val="7"/>
                <c:pt idx="0">
                  <c:v>43940</c:v>
                </c:pt>
                <c:pt idx="1">
                  <c:v>41210</c:v>
                </c:pt>
                <c:pt idx="2">
                  <c:v>122870</c:v>
                </c:pt>
                <c:pt idx="3">
                  <c:v>1341240</c:v>
                </c:pt>
                <c:pt idx="4">
                  <c:v>34750</c:v>
                </c:pt>
                <c:pt idx="5">
                  <c:v>95110</c:v>
                </c:pt>
                <c:pt idx="6">
                  <c:v>105090</c:v>
                </c:pt>
              </c:numCache>
            </c:numRef>
          </c:val>
          <c:extLst>
            <c:ext xmlns:c16="http://schemas.microsoft.com/office/drawing/2014/chart" uri="{C3380CC4-5D6E-409C-BE32-E72D297353CC}">
              <c16:uniqueId val="{00000000-93DE-4B2C-A712-EEC111EE5D81}"/>
            </c:ext>
          </c:extLst>
        </c:ser>
        <c:dLbls>
          <c:dLblPos val="outEnd"/>
          <c:showLegendKey val="0"/>
          <c:showVal val="1"/>
          <c:showCatName val="0"/>
          <c:showSerName val="0"/>
          <c:showPercent val="0"/>
          <c:showBubbleSize val="0"/>
        </c:dLbls>
        <c:gapWidth val="444"/>
        <c:overlap val="-90"/>
        <c:axId val="2018810432"/>
        <c:axId val="2018807072"/>
      </c:barChart>
      <c:catAx>
        <c:axId val="201881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8807072"/>
        <c:crosses val="autoZero"/>
        <c:auto val="1"/>
        <c:lblAlgn val="ctr"/>
        <c:lblOffset val="100"/>
        <c:noMultiLvlLbl val="0"/>
      </c:catAx>
      <c:valAx>
        <c:axId val="2018807072"/>
        <c:scaling>
          <c:orientation val="minMax"/>
        </c:scaling>
        <c:delete val="1"/>
        <c:axPos val="l"/>
        <c:numFmt formatCode="#,##0.00" sourceLinked="1"/>
        <c:majorTickMark val="none"/>
        <c:minorTickMark val="none"/>
        <c:tickLblPos val="nextTo"/>
        <c:crossAx val="201881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Region</a:t>
            </a:r>
            <a:endParaRPr lang="en-US"/>
          </a:p>
        </c:rich>
      </c:tx>
      <c:layout>
        <c:manualLayout>
          <c:xMode val="edge"/>
          <c:yMode val="edge"/>
          <c:x val="0.42308274145847041"/>
          <c:y val="9.1571886847477399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visuals!$B$25</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visuals!$A$26:$A$30</c:f>
              <c:strCache>
                <c:ptCount val="4"/>
                <c:pt idx="0">
                  <c:v>North</c:v>
                </c:pt>
                <c:pt idx="1">
                  <c:v>West</c:v>
                </c:pt>
                <c:pt idx="2">
                  <c:v>East</c:v>
                </c:pt>
                <c:pt idx="3">
                  <c:v>South</c:v>
                </c:pt>
              </c:strCache>
            </c:strRef>
          </c:cat>
          <c:val>
            <c:numRef>
              <c:f>visuals!$B$26:$B$30</c:f>
              <c:numCache>
                <c:formatCode>#,##0.00</c:formatCode>
                <c:ptCount val="4"/>
                <c:pt idx="0">
                  <c:v>313170</c:v>
                </c:pt>
                <c:pt idx="1">
                  <c:v>326820</c:v>
                </c:pt>
                <c:pt idx="2">
                  <c:v>479580</c:v>
                </c:pt>
                <c:pt idx="3">
                  <c:v>664640</c:v>
                </c:pt>
              </c:numCache>
            </c:numRef>
          </c:val>
          <c:extLst>
            <c:ext xmlns:c16="http://schemas.microsoft.com/office/drawing/2014/chart" uri="{C3380CC4-5D6E-409C-BE32-E72D297353CC}">
              <c16:uniqueId val="{00000000-00CB-4F7F-A2BA-4C9A9D9C66A8}"/>
            </c:ext>
          </c:extLst>
        </c:ser>
        <c:dLbls>
          <c:showLegendKey val="0"/>
          <c:showVal val="1"/>
          <c:showCatName val="0"/>
          <c:showSerName val="0"/>
          <c:showPercent val="0"/>
          <c:showBubbleSize val="0"/>
        </c:dLbls>
        <c:gapWidth val="150"/>
        <c:gapDepth val="0"/>
        <c:shape val="box"/>
        <c:axId val="188968080"/>
        <c:axId val="188969040"/>
        <c:axId val="0"/>
      </c:bar3DChart>
      <c:catAx>
        <c:axId val="18896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9040"/>
        <c:crosses val="autoZero"/>
        <c:auto val="1"/>
        <c:lblAlgn val="ctr"/>
        <c:lblOffset val="100"/>
        <c:noMultiLvlLbl val="0"/>
      </c:catAx>
      <c:valAx>
        <c:axId val="188969040"/>
        <c:scaling>
          <c:orientation val="minMax"/>
        </c:scaling>
        <c:delete val="0"/>
        <c:axPos val="b"/>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[Sales-Analysis-Dashboard-Final.xlsx]visuals!PivotTable3</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400" b="1" i="0" u="none" strike="noStrike" cap="none" baseline="0"/>
              <a:t>Monthly Sales Trend</a:t>
            </a:r>
            <a:endParaRPr lang="en-US" b="1"/>
          </a:p>
        </c:rich>
      </c:tx>
      <c:overlay val="0"/>
      <c:spPr>
        <a:solidFill>
          <a:schemeClr val="bg1"/>
        </a:solid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visuals!$B$44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visuals!$A$45:$A$57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visuals!$B$45:$B$57</c:f>
              <c:numCache>
                <c:formatCode>#,##0.00</c:formatCode>
                <c:ptCount val="12"/>
                <c:pt idx="0">
                  <c:v>68790</c:v>
                </c:pt>
                <c:pt idx="1">
                  <c:v>128430</c:v>
                </c:pt>
                <c:pt idx="2">
                  <c:v>256410</c:v>
                </c:pt>
                <c:pt idx="3">
                  <c:v>234450</c:v>
                </c:pt>
                <c:pt idx="4">
                  <c:v>225820</c:v>
                </c:pt>
                <c:pt idx="5">
                  <c:v>191760</c:v>
                </c:pt>
                <c:pt idx="6">
                  <c:v>63530</c:v>
                </c:pt>
                <c:pt idx="7">
                  <c:v>195450</c:v>
                </c:pt>
                <c:pt idx="8">
                  <c:v>153890</c:v>
                </c:pt>
                <c:pt idx="9">
                  <c:v>119910</c:v>
                </c:pt>
                <c:pt idx="10">
                  <c:v>101910</c:v>
                </c:pt>
                <c:pt idx="11">
                  <c:v>43860</c:v>
                </c:pt>
              </c:numCache>
            </c:numRef>
          </c:val>
          <c:smooth val="0"/>
          <c:extLst>
            <c:ext xmlns:c16="http://schemas.microsoft.com/office/drawing/2014/chart" uri="{C3380CC4-5D6E-409C-BE32-E72D297353CC}">
              <c16:uniqueId val="{00000000-5E8B-4E6B-B199-6D7302F52C0A}"/>
            </c:ext>
          </c:extLst>
        </c:ser>
        <c:dLbls>
          <c:showLegendKey val="0"/>
          <c:showVal val="0"/>
          <c:showCatName val="0"/>
          <c:showSerName val="0"/>
          <c:showPercent val="0"/>
          <c:showBubbleSize val="0"/>
        </c:dLbls>
        <c:dropLines>
          <c:spPr>
            <a:ln w="25400" cap="flat" cmpd="sng" algn="ctr">
              <a:solidFill>
                <a:schemeClr val="dk1">
                  <a:lumMod val="35000"/>
                  <a:lumOff val="65000"/>
                  <a:alpha val="33000"/>
                </a:schemeClr>
              </a:solidFill>
              <a:round/>
            </a:ln>
            <a:effectLst>
              <a:outerShdw blurRad="50800" dist="38100" dir="5400000" sx="3000" sy="3000" algn="ctr" rotWithShape="0">
                <a:srgbClr val="000000">
                  <a:alpha val="43137"/>
                </a:srgbClr>
              </a:outerShdw>
              <a:softEdge rad="0"/>
            </a:effectLst>
          </c:spPr>
        </c:dropLines>
        <c:marker val="1"/>
        <c:smooth val="0"/>
        <c:axId val="213244208"/>
        <c:axId val="213237968"/>
      </c:lineChart>
      <c:catAx>
        <c:axId val="2132442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237968"/>
        <c:crosses val="autoZero"/>
        <c:auto val="1"/>
        <c:lblAlgn val="ctr"/>
        <c:lblOffset val="100"/>
        <c:noMultiLvlLbl val="0"/>
      </c:catAx>
      <c:valAx>
        <c:axId val="213237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24420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Payment Method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57458442694669"/>
              <c:y val="0.10104330708661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3.4903324584426895E-2"/>
              <c:y val="-0.13411636045494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8081933508311457"/>
              <c:y val="9.6946996208807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visuals!$B$69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8DA-43DD-9878-23DD9559909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DA-43DD-9878-23DD9559909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28DA-43DD-9878-23DD95599093}"/>
              </c:ext>
            </c:extLst>
          </c:dPt>
          <c:dLbls>
            <c:dLbl>
              <c:idx val="0"/>
              <c:layout>
                <c:manualLayout>
                  <c:x val="-0.18857458442694669"/>
                  <c:y val="0.1010433070866141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8DA-43DD-9878-23DD95599093}"/>
                </c:ext>
              </c:extLst>
            </c:dLbl>
            <c:dLbl>
              <c:idx val="1"/>
              <c:layout>
                <c:manualLayout>
                  <c:x val="3.4903324584426895E-2"/>
                  <c:y val="-0.134116360454943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DA-43DD-9878-23DD95599093}"/>
                </c:ext>
              </c:extLst>
            </c:dLbl>
            <c:dLbl>
              <c:idx val="2"/>
              <c:layout>
                <c:manualLayout>
                  <c:x val="0.18081933508311457"/>
                  <c:y val="9.694699620880722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8DA-43DD-9878-23DD955990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visuals!$A$70:$A$73</c:f>
              <c:strCache>
                <c:ptCount val="3"/>
                <c:pt idx="0">
                  <c:v>Card</c:v>
                </c:pt>
                <c:pt idx="1">
                  <c:v>Cash</c:v>
                </c:pt>
                <c:pt idx="2">
                  <c:v>UPI</c:v>
                </c:pt>
              </c:strCache>
            </c:strRef>
          </c:cat>
          <c:val>
            <c:numRef>
              <c:f>visuals!$B$70:$B$73</c:f>
              <c:numCache>
                <c:formatCode>#,##0.00</c:formatCode>
                <c:ptCount val="3"/>
                <c:pt idx="0">
                  <c:v>637640</c:v>
                </c:pt>
                <c:pt idx="1">
                  <c:v>554140</c:v>
                </c:pt>
                <c:pt idx="2">
                  <c:v>592430</c:v>
                </c:pt>
              </c:numCache>
            </c:numRef>
          </c:val>
          <c:extLst>
            <c:ext xmlns:c16="http://schemas.microsoft.com/office/drawing/2014/chart" uri="{C3380CC4-5D6E-409C-BE32-E72D297353CC}">
              <c16:uniqueId val="{00000000-28DA-43DD-9878-23DD9559909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[Sales-Analysis-Dashboard-Final.xlsx]visuals!PivotTable1</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accent1">
                    <a:lumMod val="50000"/>
                  </a:schemeClr>
                </a:solidFill>
              </a:rPr>
              <a:t>Sales by Category</a:t>
            </a:r>
          </a:p>
        </c:rich>
      </c:tx>
      <c:layout>
        <c:manualLayout>
          <c:xMode val="edge"/>
          <c:yMode val="edge"/>
          <c:x val="0.34861251665400561"/>
          <c:y val="2.318901692386289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visuals!$A$4:$A$11</c:f>
              <c:strCache>
                <c:ptCount val="7"/>
                <c:pt idx="0">
                  <c:v>Beauty</c:v>
                </c:pt>
                <c:pt idx="1">
                  <c:v>Books</c:v>
                </c:pt>
                <c:pt idx="2">
                  <c:v>Clothing</c:v>
                </c:pt>
                <c:pt idx="3">
                  <c:v>Electronics</c:v>
                </c:pt>
                <c:pt idx="4">
                  <c:v>Grocery</c:v>
                </c:pt>
                <c:pt idx="5">
                  <c:v>Home &amp; Kitchen</c:v>
                </c:pt>
                <c:pt idx="6">
                  <c:v>Sports</c:v>
                </c:pt>
              </c:strCache>
            </c:strRef>
          </c:cat>
          <c:val>
            <c:numRef>
              <c:f>visuals!$B$4:$B$11</c:f>
              <c:numCache>
                <c:formatCode>#,##0.00</c:formatCode>
                <c:ptCount val="7"/>
                <c:pt idx="0">
                  <c:v>43940</c:v>
                </c:pt>
                <c:pt idx="1">
                  <c:v>41210</c:v>
                </c:pt>
                <c:pt idx="2">
                  <c:v>122870</c:v>
                </c:pt>
                <c:pt idx="3">
                  <c:v>1341240</c:v>
                </c:pt>
                <c:pt idx="4">
                  <c:v>34750</c:v>
                </c:pt>
                <c:pt idx="5">
                  <c:v>95110</c:v>
                </c:pt>
                <c:pt idx="6">
                  <c:v>105090</c:v>
                </c:pt>
              </c:numCache>
            </c:numRef>
          </c:val>
          <c:extLst>
            <c:ext xmlns:c16="http://schemas.microsoft.com/office/drawing/2014/chart" uri="{C3380CC4-5D6E-409C-BE32-E72D297353CC}">
              <c16:uniqueId val="{00000000-F299-4A1F-8574-7A1DF48F339E}"/>
            </c:ext>
          </c:extLst>
        </c:ser>
        <c:dLbls>
          <c:dLblPos val="outEnd"/>
          <c:showLegendKey val="0"/>
          <c:showVal val="1"/>
          <c:showCatName val="0"/>
          <c:showSerName val="0"/>
          <c:showPercent val="0"/>
          <c:showBubbleSize val="0"/>
        </c:dLbls>
        <c:gapWidth val="444"/>
        <c:overlap val="-90"/>
        <c:axId val="2018810432"/>
        <c:axId val="2018807072"/>
      </c:barChart>
      <c:catAx>
        <c:axId val="201881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8807072"/>
        <c:crosses val="autoZero"/>
        <c:auto val="1"/>
        <c:lblAlgn val="ctr"/>
        <c:lblOffset val="100"/>
        <c:noMultiLvlLbl val="0"/>
      </c:catAx>
      <c:valAx>
        <c:axId val="2018807072"/>
        <c:scaling>
          <c:orientation val="minMax"/>
        </c:scaling>
        <c:delete val="1"/>
        <c:axPos val="l"/>
        <c:numFmt formatCode="#,##0.00" sourceLinked="1"/>
        <c:majorTickMark val="none"/>
        <c:minorTickMark val="none"/>
        <c:tickLblPos val="nextTo"/>
        <c:crossAx val="201881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[Sales-Analysis-Dashboard-Final.xlsx]visuals!PivotTable2</c:name>
    <c:fmtId val="8"/>
  </c:pivotSource>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IN" sz="1600">
                <a:solidFill>
                  <a:schemeClr val="accent1">
                    <a:lumMod val="50000"/>
                  </a:schemeClr>
                </a:solidFill>
              </a:rPr>
              <a:t>Sales by Region</a:t>
            </a:r>
            <a:endParaRPr lang="en-US" sz="1600">
              <a:solidFill>
                <a:schemeClr val="accent1">
                  <a:lumMod val="50000"/>
                </a:schemeClr>
              </a:solidFill>
            </a:endParaRPr>
          </a:p>
        </c:rich>
      </c:tx>
      <c:layout>
        <c:manualLayout>
          <c:xMode val="edge"/>
          <c:yMode val="edge"/>
          <c:x val="0.42308274145847041"/>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visuals!$B$25</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visuals!$A$26:$A$30</c:f>
              <c:strCache>
                <c:ptCount val="4"/>
                <c:pt idx="0">
                  <c:v>North</c:v>
                </c:pt>
                <c:pt idx="1">
                  <c:v>West</c:v>
                </c:pt>
                <c:pt idx="2">
                  <c:v>East</c:v>
                </c:pt>
                <c:pt idx="3">
                  <c:v>South</c:v>
                </c:pt>
              </c:strCache>
            </c:strRef>
          </c:cat>
          <c:val>
            <c:numRef>
              <c:f>visuals!$B$26:$B$30</c:f>
              <c:numCache>
                <c:formatCode>#,##0.00</c:formatCode>
                <c:ptCount val="4"/>
                <c:pt idx="0">
                  <c:v>313170</c:v>
                </c:pt>
                <c:pt idx="1">
                  <c:v>326820</c:v>
                </c:pt>
                <c:pt idx="2">
                  <c:v>479580</c:v>
                </c:pt>
                <c:pt idx="3">
                  <c:v>664640</c:v>
                </c:pt>
              </c:numCache>
            </c:numRef>
          </c:val>
          <c:extLst>
            <c:ext xmlns:c16="http://schemas.microsoft.com/office/drawing/2014/chart" uri="{C3380CC4-5D6E-409C-BE32-E72D297353CC}">
              <c16:uniqueId val="{00000000-B410-4CFF-A18C-43D2EEBF945B}"/>
            </c:ext>
          </c:extLst>
        </c:ser>
        <c:dLbls>
          <c:showLegendKey val="0"/>
          <c:showVal val="1"/>
          <c:showCatName val="0"/>
          <c:showSerName val="0"/>
          <c:showPercent val="0"/>
          <c:showBubbleSize val="0"/>
        </c:dLbls>
        <c:gapWidth val="150"/>
        <c:gapDepth val="0"/>
        <c:shape val="box"/>
        <c:axId val="188968080"/>
        <c:axId val="188969040"/>
        <c:axId val="0"/>
      </c:bar3DChart>
      <c:catAx>
        <c:axId val="18896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9040"/>
        <c:crosses val="autoZero"/>
        <c:auto val="1"/>
        <c:lblAlgn val="ctr"/>
        <c:lblOffset val="100"/>
        <c:noMultiLvlLbl val="0"/>
      </c:catAx>
      <c:valAx>
        <c:axId val="188969040"/>
        <c:scaling>
          <c:orientation val="minMax"/>
        </c:scaling>
        <c:delete val="0"/>
        <c:axPos val="b"/>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[Sales-Analysis-Dashboard-Final.xlsx]visuals!PivotTable3</c:name>
    <c:fmtId val="4"/>
  </c:pivotSource>
  <c:chart>
    <c:title>
      <c:tx>
        <c:rich>
          <a:bodyPr rot="0" spcFirstLastPara="1" vertOverflow="ellipsis" vert="horz" wrap="square" anchor="ctr" anchorCtr="1"/>
          <a:lstStyle/>
          <a:p>
            <a:pPr>
              <a:defRPr sz="1600" b="0" i="0" u="none" strike="noStrike" kern="1200" cap="none" spc="20" baseline="0">
                <a:solidFill>
                  <a:schemeClr val="tx1"/>
                </a:solidFill>
                <a:latin typeface="+mn-lt"/>
                <a:ea typeface="+mn-ea"/>
                <a:cs typeface="+mn-cs"/>
              </a:defRPr>
            </a:pPr>
            <a:r>
              <a:rPr lang="en-IN" sz="1600" b="1" i="0" u="none" strike="noStrike" cap="none" baseline="0">
                <a:solidFill>
                  <a:schemeClr val="accent1">
                    <a:lumMod val="50000"/>
                  </a:schemeClr>
                </a:solidFill>
              </a:rPr>
              <a:t>Monthly Sales Trend</a:t>
            </a:r>
            <a:endParaRPr lang="en-US" sz="1600" b="1">
              <a:solidFill>
                <a:schemeClr val="accent1">
                  <a:lumMod val="50000"/>
                </a:schemeClr>
              </a:solidFill>
            </a:endParaRPr>
          </a:p>
        </c:rich>
      </c:tx>
      <c:overlay val="0"/>
      <c:spPr>
        <a:solidFill>
          <a:schemeClr val="bg1"/>
        </a:solidFill>
        <a:ln>
          <a:noFill/>
        </a:ln>
        <a:effectLst/>
      </c:spPr>
      <c:txPr>
        <a:bodyPr rot="0" spcFirstLastPara="1" vertOverflow="ellipsis" vert="horz" wrap="square" anchor="ctr" anchorCtr="1"/>
        <a:lstStyle/>
        <a:p>
          <a:pPr>
            <a:defRPr sz="16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visuals!$B$44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visuals!$A$45:$A$57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visuals!$B$45:$B$57</c:f>
              <c:numCache>
                <c:formatCode>#,##0.00</c:formatCode>
                <c:ptCount val="12"/>
                <c:pt idx="0">
                  <c:v>68790</c:v>
                </c:pt>
                <c:pt idx="1">
                  <c:v>128430</c:v>
                </c:pt>
                <c:pt idx="2">
                  <c:v>256410</c:v>
                </c:pt>
                <c:pt idx="3">
                  <c:v>234450</c:v>
                </c:pt>
                <c:pt idx="4">
                  <c:v>225820</c:v>
                </c:pt>
                <c:pt idx="5">
                  <c:v>191760</c:v>
                </c:pt>
                <c:pt idx="6">
                  <c:v>63530</c:v>
                </c:pt>
                <c:pt idx="7">
                  <c:v>195450</c:v>
                </c:pt>
                <c:pt idx="8">
                  <c:v>153890</c:v>
                </c:pt>
                <c:pt idx="9">
                  <c:v>119910</c:v>
                </c:pt>
                <c:pt idx="10">
                  <c:v>101910</c:v>
                </c:pt>
                <c:pt idx="11">
                  <c:v>43860</c:v>
                </c:pt>
              </c:numCache>
            </c:numRef>
          </c:val>
          <c:smooth val="0"/>
          <c:extLst>
            <c:ext xmlns:c16="http://schemas.microsoft.com/office/drawing/2014/chart" uri="{C3380CC4-5D6E-409C-BE32-E72D297353CC}">
              <c16:uniqueId val="{00000000-AB80-4A78-9D24-CFDD7A6EA553}"/>
            </c:ext>
          </c:extLst>
        </c:ser>
        <c:dLbls>
          <c:showLegendKey val="0"/>
          <c:showVal val="0"/>
          <c:showCatName val="0"/>
          <c:showSerName val="0"/>
          <c:showPercent val="0"/>
          <c:showBubbleSize val="0"/>
        </c:dLbls>
        <c:dropLines>
          <c:spPr>
            <a:ln w="25400" cap="flat" cmpd="sng" algn="ctr">
              <a:solidFill>
                <a:schemeClr val="dk1">
                  <a:lumMod val="35000"/>
                  <a:lumOff val="65000"/>
                  <a:alpha val="33000"/>
                </a:schemeClr>
              </a:solidFill>
              <a:round/>
            </a:ln>
            <a:effectLst>
              <a:outerShdw blurRad="50800" dist="38100" dir="5400000" sx="3000" sy="3000" algn="ctr" rotWithShape="0">
                <a:srgbClr val="000000">
                  <a:alpha val="43137"/>
                </a:srgbClr>
              </a:outerShdw>
              <a:softEdge rad="0"/>
            </a:effectLst>
          </c:spPr>
        </c:dropLines>
        <c:marker val="1"/>
        <c:smooth val="0"/>
        <c:axId val="213244208"/>
        <c:axId val="213237968"/>
      </c:lineChart>
      <c:catAx>
        <c:axId val="2132442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237968"/>
        <c:crosses val="autoZero"/>
        <c:auto val="1"/>
        <c:lblAlgn val="ctr"/>
        <c:lblOffset val="100"/>
        <c:noMultiLvlLbl val="0"/>
      </c:catAx>
      <c:valAx>
        <c:axId val="213237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244208"/>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[Sales-Analysis-Dashboard-Final.xlsx]visuals!PivotTable4</c:name>
    <c:fmtId val="4"/>
  </c:pivotSource>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IN" sz="1600">
                <a:solidFill>
                  <a:schemeClr val="accent1">
                    <a:lumMod val="50000"/>
                  </a:schemeClr>
                </a:solidFill>
              </a:rPr>
              <a:t>Payment Method Distribution</a:t>
            </a:r>
          </a:p>
        </c:rich>
      </c:tx>
      <c:layout>
        <c:manualLayout>
          <c:xMode val="edge"/>
          <c:yMode val="edge"/>
          <c:x val="0.29092837306639346"/>
          <c:y val="6.9856087672465442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57458442694669"/>
              <c:y val="0.10104330708661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3.4903324584426895E-2"/>
              <c:y val="-0.13411636045494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8081933508311457"/>
              <c:y val="9.6946996208807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57458442694669"/>
              <c:y val="0.10104330708661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4903324584426895E-2"/>
              <c:y val="-0.13411636045494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081933508311457"/>
              <c:y val="9.6946996208807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857458442694669"/>
              <c:y val="0.10104330708661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4903324584426895E-2"/>
              <c:y val="-0.13411636045494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081933508311457"/>
              <c:y val="9.6946996208807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visuals!$B$69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C0C-4D0E-84B3-CD9292EB4F3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C0C-4D0E-84B3-CD9292EB4F3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C0C-4D0E-84B3-CD9292EB4F3D}"/>
              </c:ext>
            </c:extLst>
          </c:dPt>
          <c:dLbls>
            <c:dLbl>
              <c:idx val="0"/>
              <c:layout>
                <c:manualLayout>
                  <c:x val="-0.18857458442694669"/>
                  <c:y val="0.1010433070866141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0C-4D0E-84B3-CD9292EB4F3D}"/>
                </c:ext>
              </c:extLst>
            </c:dLbl>
            <c:dLbl>
              <c:idx val="1"/>
              <c:layout>
                <c:manualLayout>
                  <c:x val="3.4903324584426895E-2"/>
                  <c:y val="-0.134116360454943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0C-4D0E-84B3-CD9292EB4F3D}"/>
                </c:ext>
              </c:extLst>
            </c:dLbl>
            <c:dLbl>
              <c:idx val="2"/>
              <c:layout>
                <c:manualLayout>
                  <c:x val="0.18081933508311457"/>
                  <c:y val="9.694699620880722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0C-4D0E-84B3-CD9292EB4F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visuals!$A$70:$A$73</c:f>
              <c:strCache>
                <c:ptCount val="3"/>
                <c:pt idx="0">
                  <c:v>Card</c:v>
                </c:pt>
                <c:pt idx="1">
                  <c:v>Cash</c:v>
                </c:pt>
                <c:pt idx="2">
                  <c:v>UPI</c:v>
                </c:pt>
              </c:strCache>
            </c:strRef>
          </c:cat>
          <c:val>
            <c:numRef>
              <c:f>visuals!$B$70:$B$73</c:f>
              <c:numCache>
                <c:formatCode>#,##0.00</c:formatCode>
                <c:ptCount val="3"/>
                <c:pt idx="0">
                  <c:v>637640</c:v>
                </c:pt>
                <c:pt idx="1">
                  <c:v>554140</c:v>
                </c:pt>
                <c:pt idx="2">
                  <c:v>592430</c:v>
                </c:pt>
              </c:numCache>
            </c:numRef>
          </c:val>
          <c:extLst>
            <c:ext xmlns:c16="http://schemas.microsoft.com/office/drawing/2014/chart" uri="{C3380CC4-5D6E-409C-BE32-E72D297353CC}">
              <c16:uniqueId val="{00000006-DC0C-4D0E-84B3-CD9292EB4F3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xdr:colOff>
      <xdr:row>1</xdr:row>
      <xdr:rowOff>125730</xdr:rowOff>
    </xdr:from>
    <xdr:to>
      <xdr:col>14</xdr:col>
      <xdr:colOff>0</xdr:colOff>
      <xdr:row>21</xdr:row>
      <xdr:rowOff>167640</xdr:rowOff>
    </xdr:to>
    <xdr:graphicFrame macro="">
      <xdr:nvGraphicFramePr>
        <xdr:cNvPr id="2" name="Chart 1">
          <a:extLst>
            <a:ext uri="{FF2B5EF4-FFF2-40B4-BE49-F238E27FC236}">
              <a16:creationId xmlns:a16="http://schemas.microsoft.com/office/drawing/2014/main" id="{067AD354-5E3F-DC5F-98C9-A1F13B4A4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24</xdr:row>
      <xdr:rowOff>3810</xdr:rowOff>
    </xdr:from>
    <xdr:to>
      <xdr:col>16</xdr:col>
      <xdr:colOff>15240</xdr:colOff>
      <xdr:row>39</xdr:row>
      <xdr:rowOff>3810</xdr:rowOff>
    </xdr:to>
    <xdr:graphicFrame macro="">
      <xdr:nvGraphicFramePr>
        <xdr:cNvPr id="3" name="Chart 2">
          <a:extLst>
            <a:ext uri="{FF2B5EF4-FFF2-40B4-BE49-F238E27FC236}">
              <a16:creationId xmlns:a16="http://schemas.microsoft.com/office/drawing/2014/main" id="{18249492-3482-B513-96BF-19C14527A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42</xdr:row>
      <xdr:rowOff>179070</xdr:rowOff>
    </xdr:from>
    <xdr:to>
      <xdr:col>12</xdr:col>
      <xdr:colOff>594360</xdr:colOff>
      <xdr:row>57</xdr:row>
      <xdr:rowOff>179070</xdr:rowOff>
    </xdr:to>
    <xdr:graphicFrame macro="">
      <xdr:nvGraphicFramePr>
        <xdr:cNvPr id="4" name="Chart 3">
          <a:extLst>
            <a:ext uri="{FF2B5EF4-FFF2-40B4-BE49-F238E27FC236}">
              <a16:creationId xmlns:a16="http://schemas.microsoft.com/office/drawing/2014/main" id="{CE8326C9-A1E6-E519-9F47-E6C985DB9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144780</xdr:colOff>
      <xdr:row>60</xdr:row>
      <xdr:rowOff>41910</xdr:rowOff>
    </xdr:from>
    <xdr:to>
      <xdr:col>10</xdr:col>
      <xdr:colOff>449580</xdr:colOff>
      <xdr:row>75</xdr:row>
      <xdr:rowOff>41910</xdr:rowOff>
    </xdr:to>
    <xdr:graphicFrame macro="">
      <xdr:nvGraphicFramePr>
        <xdr:cNvPr id="5" name="Chart 4">
          <a:extLst>
            <a:ext uri="{FF2B5EF4-FFF2-40B4-BE49-F238E27FC236}">
              <a16:creationId xmlns:a16="http://schemas.microsoft.com/office/drawing/2014/main" id="{776AA728-CE40-82CB-6306-5133BC8D0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16212</xdr:colOff>
      <xdr:row>1</xdr:row>
      <xdr:rowOff>24318</xdr:rowOff>
    </xdr:from>
    <xdr:to>
      <xdr:col>35</xdr:col>
      <xdr:colOff>15550</xdr:colOff>
      <xdr:row>69</xdr:row>
      <xdr:rowOff>93306</xdr:rowOff>
    </xdr:to>
    <xdr:sp macro="" textlink="">
      <xdr:nvSpPr>
        <xdr:cNvPr id="9" name="Rectangle 8">
          <a:extLst>
            <a:ext uri="{FF2B5EF4-FFF2-40B4-BE49-F238E27FC236}">
              <a16:creationId xmlns:a16="http://schemas.microsoft.com/office/drawing/2014/main" id="{0ECCE5F5-D5BB-E417-86C2-7115DCE64768}"/>
            </a:ext>
          </a:extLst>
        </xdr:cNvPr>
        <xdr:cNvSpPr/>
      </xdr:nvSpPr>
      <xdr:spPr>
        <a:xfrm>
          <a:off x="16212" y="486382"/>
          <a:ext cx="21278593" cy="12844647"/>
        </a:xfrm>
        <a:prstGeom prst="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0</xdr:col>
      <xdr:colOff>22860</xdr:colOff>
      <xdr:row>4</xdr:row>
      <xdr:rowOff>20052</xdr:rowOff>
    </xdr:from>
    <xdr:to>
      <xdr:col>11</xdr:col>
      <xdr:colOff>0</xdr:colOff>
      <xdr:row>23</xdr:row>
      <xdr:rowOff>0</xdr:rowOff>
    </xdr:to>
    <xdr:graphicFrame macro="">
      <xdr:nvGraphicFramePr>
        <xdr:cNvPr id="2" name="Chart 1">
          <a:extLst>
            <a:ext uri="{FF2B5EF4-FFF2-40B4-BE49-F238E27FC236}">
              <a16:creationId xmlns:a16="http://schemas.microsoft.com/office/drawing/2014/main" id="{C2A3B431-8379-40DC-892E-B60257310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10026</xdr:colOff>
      <xdr:row>3</xdr:row>
      <xdr:rowOff>250658</xdr:rowOff>
    </xdr:from>
    <xdr:to>
      <xdr:col>24</xdr:col>
      <xdr:colOff>10026</xdr:colOff>
      <xdr:row>22</xdr:row>
      <xdr:rowOff>180473</xdr:rowOff>
    </xdr:to>
    <xdr:graphicFrame macro="">
      <xdr:nvGraphicFramePr>
        <xdr:cNvPr id="3" name="Chart 2">
          <a:extLst>
            <a:ext uri="{FF2B5EF4-FFF2-40B4-BE49-F238E27FC236}">
              <a16:creationId xmlns:a16="http://schemas.microsoft.com/office/drawing/2014/main" id="{1B1AD357-0151-4F9F-B220-222849144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25</xdr:row>
      <xdr:rowOff>0</xdr:rowOff>
    </xdr:from>
    <xdr:to>
      <xdr:col>20</xdr:col>
      <xdr:colOff>0</xdr:colOff>
      <xdr:row>44</xdr:row>
      <xdr:rowOff>0</xdr:rowOff>
    </xdr:to>
    <xdr:graphicFrame macro="">
      <xdr:nvGraphicFramePr>
        <xdr:cNvPr id="4" name="Chart 3">
          <a:extLst>
            <a:ext uri="{FF2B5EF4-FFF2-40B4-BE49-F238E27FC236}">
              <a16:creationId xmlns:a16="http://schemas.microsoft.com/office/drawing/2014/main" id="{0C2629D1-22CD-41A3-965F-CB8349710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20054</xdr:colOff>
      <xdr:row>48</xdr:row>
      <xdr:rowOff>175260</xdr:rowOff>
    </xdr:from>
    <xdr:to>
      <xdr:col>19</xdr:col>
      <xdr:colOff>601579</xdr:colOff>
      <xdr:row>67</xdr:row>
      <xdr:rowOff>160422</xdr:rowOff>
    </xdr:to>
    <xdr:graphicFrame macro="">
      <xdr:nvGraphicFramePr>
        <xdr:cNvPr id="5" name="Chart 4">
          <a:extLst>
            <a:ext uri="{FF2B5EF4-FFF2-40B4-BE49-F238E27FC236}">
              <a16:creationId xmlns:a16="http://schemas.microsoft.com/office/drawing/2014/main" id="{412A2598-2463-4089-82FE-341EAB5C8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2806</xdr:colOff>
      <xdr:row>13</xdr:row>
      <xdr:rowOff>60158</xdr:rowOff>
    </xdr:from>
    <xdr:to>
      <xdr:col>33</xdr:col>
      <xdr:colOff>60158</xdr:colOff>
      <xdr:row>19</xdr:row>
      <xdr:rowOff>110289</xdr:rowOff>
    </xdr:to>
    <mc:AlternateContent xmlns:mc="http://schemas.openxmlformats.org/markup-compatibility/2006">
      <mc:Choice xmlns:a14="http://schemas.microsoft.com/office/drawing/2010/main" Requires="a14">
        <xdr:graphicFrame macro="">
          <xdr:nvGraphicFramePr>
            <xdr:cNvPr id="6" name="Payment Method">
              <a:extLst>
                <a:ext uri="{FF2B5EF4-FFF2-40B4-BE49-F238E27FC236}">
                  <a16:creationId xmlns:a16="http://schemas.microsoft.com/office/drawing/2014/main" id="{49C8DD12-8BCD-444C-8332-9A5F8B4F096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7681206" y="2835442"/>
              <a:ext cx="2495752" cy="1157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801</xdr:colOff>
      <xdr:row>4</xdr:row>
      <xdr:rowOff>12834</xdr:rowOff>
    </xdr:from>
    <xdr:to>
      <xdr:col>33</xdr:col>
      <xdr:colOff>30079</xdr:colOff>
      <xdr:row>11</xdr:row>
      <xdr:rowOff>130342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4FBA8A9-35AB-4FD3-88A0-AABA2ACEDC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679201" y="1127760"/>
              <a:ext cx="2467678" cy="1408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10426</xdr:colOff>
      <xdr:row>4</xdr:row>
      <xdr:rowOff>26068</xdr:rowOff>
    </xdr:from>
    <xdr:to>
      <xdr:col>28</xdr:col>
      <xdr:colOff>40105</xdr:colOff>
      <xdr:row>20</xdr:row>
      <xdr:rowOff>30079</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49AEEBC-162D-4482-8B14-AD9B35EE11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50426" y="1140994"/>
              <a:ext cx="1858479" cy="2955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111.529232523149" createdVersion="8" refreshedVersion="8" minRefreshableVersion="3" recordCount="220" xr:uid="{9489CE52-D156-40DA-B881-5F3DC84E5F40}">
  <cacheSource type="worksheet">
    <worksheetSource ref="A1:M221" sheet="Raw_Data"/>
  </cacheSource>
  <cacheFields count="13">
    <cacheField name="CustomerID" numFmtId="0">
      <sharedItems/>
    </cacheField>
    <cacheField name="Customer Name" numFmtId="0">
      <sharedItems/>
    </cacheField>
    <cacheField name="Product Name" numFmtId="0">
      <sharedItems/>
    </cacheField>
    <cacheField name="Category" numFmtId="0">
      <sharedItems count="7">
        <s v="Grocery"/>
        <s v="Books"/>
        <s v="Electronics"/>
        <s v="Beauty"/>
        <s v="Sports"/>
        <s v="Clothing"/>
        <s v="Home &amp; Kitchen"/>
      </sharedItems>
    </cacheField>
    <cacheField name="Region" numFmtId="0">
      <sharedItems count="4">
        <s v="South"/>
        <s v="East"/>
        <s v="North"/>
        <s v="West"/>
      </sharedItems>
    </cacheField>
    <cacheField name="Date" numFmtId="0">
      <sharedItems/>
    </cacheField>
    <cacheField name="Quantity" numFmtId="0">
      <sharedItems containsSemiMixedTypes="0" containsString="0" containsNumber="1" containsInteger="1" minValue="1" maxValue="5"/>
    </cacheField>
    <cacheField name="Price (₹)" numFmtId="4">
      <sharedItems containsSemiMixedTypes="0" containsString="0" containsNumber="1" containsInteger="1" minValue="50" maxValue="58650"/>
    </cacheField>
    <cacheField name="Total Amount (₹)" numFmtId="4">
      <sharedItems containsSemiMixedTypes="0" containsString="0" containsNumber="1" containsInteger="1" minValue="50" maxValue="126160"/>
    </cacheField>
    <cacheField name="Payment Method" numFmtId="0">
      <sharedItems count="3">
        <s v="Card"/>
        <s v="Cash"/>
        <s v="UPI"/>
      </sharedItems>
    </cacheField>
    <cacheField name="Month" numFmtId="0">
      <sharedItems count="12">
        <s v="May"/>
        <s v="Nov"/>
        <s v="Jan"/>
        <s v="Sep"/>
        <s v="Aug"/>
        <s v="Oct"/>
        <s v="Apr"/>
        <s v="Jul"/>
        <s v="Dec"/>
        <s v="Mar"/>
        <s v="Feb"/>
        <s v="Jun"/>
      </sharedItems>
    </cacheField>
    <cacheField name="Year" numFmtId="0">
      <sharedItems containsSemiMixedTypes="0" containsString="0" containsNumber="1" containsInteger="1" minValue="2024" maxValue="2024"/>
    </cacheField>
    <cacheField name="High Value" numFmtId="0">
      <sharedItems/>
    </cacheField>
  </cacheFields>
  <extLst>
    <ext xmlns:x14="http://schemas.microsoft.com/office/spreadsheetml/2009/9/main" uri="{725AE2AE-9491-48be-B2B4-4EB974FC3084}">
      <x14:pivotCacheDefinition pivotCacheId="826473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CUST0015"/>
    <s v="Rahul Sharma"/>
    <s v="Coffee 200g"/>
    <x v="0"/>
    <x v="0"/>
    <s v="14-05-2024"/>
    <n v="1"/>
    <n v="330"/>
    <n v="330"/>
    <x v="0"/>
    <x v="0"/>
    <n v="2024"/>
    <s v="Normal"/>
  </r>
  <r>
    <s v="CUST0014"/>
    <s v="Arjun Rao"/>
    <s v="Academic Textbook"/>
    <x v="1"/>
    <x v="0"/>
    <s v="07-11-2024"/>
    <n v="5"/>
    <n v="850"/>
    <n v="4250"/>
    <x v="1"/>
    <x v="1"/>
    <n v="2024"/>
    <s v="Normal"/>
  </r>
  <r>
    <s v="CUST0048"/>
    <s v="Rekha Iyer"/>
    <s v="Children's Book"/>
    <x v="1"/>
    <x v="1"/>
    <s v="01-01-2024"/>
    <n v="5"/>
    <n v="200"/>
    <n v="1000"/>
    <x v="2"/>
    <x v="2"/>
    <n v="2024"/>
    <s v="Normal"/>
  </r>
  <r>
    <s v="CUST0003"/>
    <s v="Pooja Shah"/>
    <s v="Smartwatch"/>
    <x v="2"/>
    <x v="2"/>
    <s v="02-05-2024"/>
    <n v="3"/>
    <n v="13980"/>
    <n v="41940"/>
    <x v="1"/>
    <x v="0"/>
    <n v="2024"/>
    <s v="High"/>
  </r>
  <r>
    <s v="CUST0073"/>
    <s v="Suresh Agarwal"/>
    <s v="Laptop"/>
    <x v="2"/>
    <x v="0"/>
    <s v="29-09-2024"/>
    <n v="1"/>
    <n v="57550"/>
    <n v="57550"/>
    <x v="1"/>
    <x v="3"/>
    <n v="2024"/>
    <s v="High"/>
  </r>
  <r>
    <s v="CUST0061"/>
    <s v="Ritu Iyer"/>
    <s v="Shampoo"/>
    <x v="3"/>
    <x v="0"/>
    <s v="04-08-2024"/>
    <n v="5"/>
    <n v="330"/>
    <n v="1650"/>
    <x v="0"/>
    <x v="4"/>
    <n v="2024"/>
    <s v="Normal"/>
  </r>
  <r>
    <s v="CUST0026"/>
    <s v="Ritu Chopra"/>
    <s v="Badminton Racket"/>
    <x v="4"/>
    <x v="3"/>
    <s v="12-08-2024"/>
    <n v="3"/>
    <n v="880"/>
    <n v="2640"/>
    <x v="1"/>
    <x v="4"/>
    <n v="2024"/>
    <s v="Normal"/>
  </r>
  <r>
    <s v="CUST0032"/>
    <s v="Raj Joshi"/>
    <s v="Women's Kurti"/>
    <x v="5"/>
    <x v="0"/>
    <s v="10-10-2024"/>
    <n v="5"/>
    <n v="1160"/>
    <n v="5800"/>
    <x v="0"/>
    <x v="5"/>
    <n v="2024"/>
    <s v="Normal"/>
  </r>
  <r>
    <s v="CUST0029"/>
    <s v="Rohit Iyer"/>
    <s v="Laptop"/>
    <x v="2"/>
    <x v="2"/>
    <s v="27-04-2024"/>
    <n v="1"/>
    <n v="57290"/>
    <n v="57290"/>
    <x v="1"/>
    <x v="6"/>
    <n v="2024"/>
    <s v="High"/>
  </r>
  <r>
    <s v="CUST0043"/>
    <s v="Mohan Verma"/>
    <s v="Smart TV"/>
    <x v="2"/>
    <x v="0"/>
    <s v="19-04-2024"/>
    <n v="4"/>
    <n v="31540"/>
    <n v="126160"/>
    <x v="0"/>
    <x v="6"/>
    <n v="2024"/>
    <s v="High"/>
  </r>
  <r>
    <s v="CUST0074"/>
    <s v="Sunita Chopra"/>
    <s v="Hair Oil"/>
    <x v="3"/>
    <x v="0"/>
    <s v="27-07-2024"/>
    <n v="4"/>
    <n v="190"/>
    <n v="760"/>
    <x v="1"/>
    <x v="7"/>
    <n v="2024"/>
    <s v="Normal"/>
  </r>
  <r>
    <s v="CUST0013"/>
    <s v="Meera Shah"/>
    <s v="Water Bottle"/>
    <x v="4"/>
    <x v="2"/>
    <s v="27-08-2024"/>
    <n v="4"/>
    <n v="340"/>
    <n v="1360"/>
    <x v="0"/>
    <x v="4"/>
    <n v="2024"/>
    <s v="Normal"/>
  </r>
  <r>
    <s v="CUST0013"/>
    <s v="Meera Shah"/>
    <s v="Bluetooth Speaker"/>
    <x v="2"/>
    <x v="0"/>
    <s v="07-05-2024"/>
    <n v="1"/>
    <n v="2610"/>
    <n v="2610"/>
    <x v="1"/>
    <x v="0"/>
    <n v="2024"/>
    <s v="Normal"/>
  </r>
  <r>
    <s v="CUST0069"/>
    <s v="Swati Gupta"/>
    <s v="Water Bottle"/>
    <x v="6"/>
    <x v="0"/>
    <s v="24-08-2024"/>
    <n v="3"/>
    <n v="290"/>
    <n v="870"/>
    <x v="1"/>
    <x v="4"/>
    <n v="2024"/>
    <s v="Normal"/>
  </r>
  <r>
    <s v="CUST0057"/>
    <s v="Vikram Malhotra"/>
    <s v="Self-Help Book"/>
    <x v="1"/>
    <x v="2"/>
    <s v="08-01-2024"/>
    <n v="5"/>
    <n v="270"/>
    <n v="1350"/>
    <x v="1"/>
    <x v="2"/>
    <n v="2024"/>
    <s v="Normal"/>
  </r>
  <r>
    <s v="CUST0022"/>
    <s v="Suresh Gupta"/>
    <s v="Curtains"/>
    <x v="6"/>
    <x v="0"/>
    <s v="31-01-2024"/>
    <n v="4"/>
    <n v="1290"/>
    <n v="5160"/>
    <x v="2"/>
    <x v="2"/>
    <n v="2024"/>
    <s v="Normal"/>
  </r>
  <r>
    <s v="CUST0001"/>
    <s v="Deepak Gupta"/>
    <s v="Storage Container Set"/>
    <x v="6"/>
    <x v="3"/>
    <s v="26-05-2024"/>
    <n v="4"/>
    <n v="650"/>
    <n v="2600"/>
    <x v="0"/>
    <x v="0"/>
    <n v="2024"/>
    <s v="Normal"/>
  </r>
  <r>
    <s v="CUST0072"/>
    <s v="Sunita Verma"/>
    <s v="Resistance Bands"/>
    <x v="4"/>
    <x v="2"/>
    <s v="21-04-2024"/>
    <n v="3"/>
    <n v="560"/>
    <n v="1680"/>
    <x v="0"/>
    <x v="6"/>
    <n v="2024"/>
    <s v="Normal"/>
  </r>
  <r>
    <s v="CUST0070"/>
    <s v="Karan Mehta"/>
    <s v="Smartwatch"/>
    <x v="2"/>
    <x v="0"/>
    <s v="01-09-2024"/>
    <n v="5"/>
    <n v="11850"/>
    <n v="59250"/>
    <x v="1"/>
    <x v="3"/>
    <n v="2024"/>
    <s v="High"/>
  </r>
  <r>
    <s v="CUST0066"/>
    <s v="Pooja Singh"/>
    <s v="Wireless Earbuds"/>
    <x v="2"/>
    <x v="0"/>
    <s v="11-12-2024"/>
    <n v="1"/>
    <n v="3200"/>
    <n v="3200"/>
    <x v="2"/>
    <x v="8"/>
    <n v="2024"/>
    <s v="Normal"/>
  </r>
  <r>
    <s v="CUST0016"/>
    <s v="Sanjay Mehta"/>
    <s v="Body Lotion"/>
    <x v="3"/>
    <x v="2"/>
    <s v="13-11-2024"/>
    <n v="1"/>
    <n v="300"/>
    <n v="300"/>
    <x v="2"/>
    <x v="1"/>
    <n v="2024"/>
    <s v="Normal"/>
  </r>
  <r>
    <s v="CUST0075"/>
    <s v="Nikhil Nair"/>
    <s v="Perfume"/>
    <x v="3"/>
    <x v="1"/>
    <s v="08-12-2024"/>
    <n v="2"/>
    <n v="1410"/>
    <n v="2820"/>
    <x v="1"/>
    <x v="8"/>
    <n v="2024"/>
    <s v="Normal"/>
  </r>
  <r>
    <s v="CUST0034"/>
    <s v="Priya Shah"/>
    <s v="Water Bottle"/>
    <x v="6"/>
    <x v="1"/>
    <s v="22-08-2024"/>
    <n v="3"/>
    <n v="310"/>
    <n v="930"/>
    <x v="1"/>
    <x v="4"/>
    <n v="2024"/>
    <s v="Normal"/>
  </r>
  <r>
    <s v="CUST0002"/>
    <s v="Aarav Nair"/>
    <s v="Non-stick Pan"/>
    <x v="6"/>
    <x v="1"/>
    <s v="16-09-2024"/>
    <n v="2"/>
    <n v="730"/>
    <n v="1460"/>
    <x v="1"/>
    <x v="3"/>
    <n v="2024"/>
    <s v="Normal"/>
  </r>
  <r>
    <s v="CUST0045"/>
    <s v="Shreya Shah"/>
    <s v="Smart TV"/>
    <x v="2"/>
    <x v="1"/>
    <s v="12-08-2024"/>
    <n v="2"/>
    <n v="32140"/>
    <n v="64280"/>
    <x v="0"/>
    <x v="4"/>
    <n v="2024"/>
    <s v="High"/>
  </r>
  <r>
    <s v="CUST0068"/>
    <s v="Rohit Patel"/>
    <s v="Tablet"/>
    <x v="2"/>
    <x v="1"/>
    <s v="09-03-2024"/>
    <n v="1"/>
    <n v="27160"/>
    <n v="27160"/>
    <x v="1"/>
    <x v="9"/>
    <n v="2024"/>
    <s v="High"/>
  </r>
  <r>
    <s v="CUST0014"/>
    <s v="Arjun Rao"/>
    <s v="Running Shoes"/>
    <x v="4"/>
    <x v="1"/>
    <s v="17-04-2024"/>
    <n v="5"/>
    <n v="2860"/>
    <n v="14300"/>
    <x v="1"/>
    <x v="6"/>
    <n v="2024"/>
    <s v="High"/>
  </r>
  <r>
    <s v="CUST0034"/>
    <s v="Priya Shah"/>
    <s v="Hair Oil"/>
    <x v="3"/>
    <x v="3"/>
    <s v="17-02-2024"/>
    <n v="1"/>
    <n v="190"/>
    <n v="190"/>
    <x v="2"/>
    <x v="10"/>
    <n v="2024"/>
    <s v="Normal"/>
  </r>
  <r>
    <s v="CUST0006"/>
    <s v="Rohit Rao"/>
    <s v="Smartwatch"/>
    <x v="2"/>
    <x v="3"/>
    <s v="23-03-2024"/>
    <n v="3"/>
    <n v="13700"/>
    <n v="41100"/>
    <x v="0"/>
    <x v="9"/>
    <n v="2024"/>
    <s v="High"/>
  </r>
  <r>
    <s v="CUST0055"/>
    <s v="Rekha Rao"/>
    <s v="Face Wash"/>
    <x v="3"/>
    <x v="2"/>
    <s v="06-10-2024"/>
    <n v="2"/>
    <n v="230"/>
    <n v="460"/>
    <x v="2"/>
    <x v="5"/>
    <n v="2024"/>
    <s v="Normal"/>
  </r>
  <r>
    <s v="CUST0075"/>
    <s v="Nikhil Nair"/>
    <s v="Shampoo"/>
    <x v="3"/>
    <x v="1"/>
    <s v="06-06-2024"/>
    <n v="1"/>
    <n v="350"/>
    <n v="350"/>
    <x v="1"/>
    <x v="11"/>
    <n v="2024"/>
    <s v="Normal"/>
  </r>
  <r>
    <s v="CUST0046"/>
    <s v="Anjali Chopra"/>
    <s v="Formal Shirt"/>
    <x v="5"/>
    <x v="3"/>
    <s v="13-10-2024"/>
    <n v="3"/>
    <n v="1550"/>
    <n v="4650"/>
    <x v="0"/>
    <x v="5"/>
    <n v="2024"/>
    <s v="Normal"/>
  </r>
  <r>
    <s v="CUST0020"/>
    <s v="Sanjay Kumar"/>
    <s v="Jeans"/>
    <x v="5"/>
    <x v="2"/>
    <s v="30-07-2024"/>
    <n v="2"/>
    <n v="1970"/>
    <n v="3940"/>
    <x v="1"/>
    <x v="7"/>
    <n v="2024"/>
    <s v="Normal"/>
  </r>
  <r>
    <s v="CUST0043"/>
    <s v="Mohan Verma"/>
    <s v="Biography"/>
    <x v="1"/>
    <x v="0"/>
    <s v="16-05-2024"/>
    <n v="2"/>
    <n v="420"/>
    <n v="840"/>
    <x v="0"/>
    <x v="0"/>
    <n v="2024"/>
    <s v="Normal"/>
  </r>
  <r>
    <s v="CUST0014"/>
    <s v="Arjun Rao"/>
    <s v="Pressure Cooker"/>
    <x v="6"/>
    <x v="3"/>
    <s v="12-04-2024"/>
    <n v="2"/>
    <n v="2040"/>
    <n v="4080"/>
    <x v="2"/>
    <x v="6"/>
    <n v="2024"/>
    <s v="Normal"/>
  </r>
  <r>
    <s v="CUST0040"/>
    <s v="Anjali Mishra"/>
    <s v="Cookbook"/>
    <x v="1"/>
    <x v="1"/>
    <s v="23-07-2024"/>
    <n v="2"/>
    <n v="470"/>
    <n v="940"/>
    <x v="2"/>
    <x v="7"/>
    <n v="2024"/>
    <s v="Normal"/>
  </r>
  <r>
    <s v="CUST0009"/>
    <s v="Vikram Shah"/>
    <s v="Academic Textbook"/>
    <x v="1"/>
    <x v="1"/>
    <s v="23-07-2024"/>
    <n v="5"/>
    <n v="780"/>
    <n v="3900"/>
    <x v="1"/>
    <x v="7"/>
    <n v="2024"/>
    <s v="Normal"/>
  </r>
  <r>
    <s v="CUST0015"/>
    <s v="Rahul Sharma"/>
    <s v="Atta 10kg"/>
    <x v="0"/>
    <x v="2"/>
    <s v="20-01-2024"/>
    <n v="3"/>
    <n v="390"/>
    <n v="1170"/>
    <x v="0"/>
    <x v="2"/>
    <n v="2024"/>
    <s v="Normal"/>
  </r>
  <r>
    <s v="CUST0056"/>
    <s v="Anil Kumar"/>
    <s v="Tea 500g"/>
    <x v="0"/>
    <x v="3"/>
    <s v="29-02-2024"/>
    <n v="5"/>
    <n v="220"/>
    <n v="1100"/>
    <x v="0"/>
    <x v="10"/>
    <n v="2024"/>
    <s v="Normal"/>
  </r>
  <r>
    <s v="CUST0025"/>
    <s v="Pallavi Patel"/>
    <s v="Basmati Rice 5kg"/>
    <x v="0"/>
    <x v="0"/>
    <s v="23-09-2024"/>
    <n v="1"/>
    <n v="470"/>
    <n v="470"/>
    <x v="2"/>
    <x v="3"/>
    <n v="2024"/>
    <s v="Normal"/>
  </r>
  <r>
    <s v="CUST0056"/>
    <s v="Anil Kumar"/>
    <s v="Smartwatch"/>
    <x v="2"/>
    <x v="1"/>
    <s v="02-06-2024"/>
    <n v="1"/>
    <n v="13320"/>
    <n v="13320"/>
    <x v="0"/>
    <x v="11"/>
    <n v="2024"/>
    <s v="High"/>
  </r>
  <r>
    <s v="CUST0053"/>
    <s v="Suresh Nair"/>
    <s v="Coffee 200g"/>
    <x v="0"/>
    <x v="0"/>
    <s v="06-03-2024"/>
    <n v="5"/>
    <n v="360"/>
    <n v="1800"/>
    <x v="2"/>
    <x v="9"/>
    <n v="2024"/>
    <s v="Normal"/>
  </r>
  <r>
    <s v="CUST0049"/>
    <s v="Pooja Kumar"/>
    <s v="Running Shoes"/>
    <x v="4"/>
    <x v="2"/>
    <s v="26-07-2024"/>
    <n v="3"/>
    <n v="3070"/>
    <n v="9210"/>
    <x v="2"/>
    <x v="7"/>
    <n v="2024"/>
    <s v="Normal"/>
  </r>
  <r>
    <s v="CUST0037"/>
    <s v="Swati Gupta"/>
    <s v="Shorts"/>
    <x v="5"/>
    <x v="1"/>
    <s v="01-12-2024"/>
    <n v="5"/>
    <n v="630"/>
    <n v="3150"/>
    <x v="2"/>
    <x v="8"/>
    <n v="2024"/>
    <s v="Normal"/>
  </r>
  <r>
    <s v="CUST0057"/>
    <s v="Vikram Malhotra"/>
    <s v="Mixer Grinder"/>
    <x v="6"/>
    <x v="2"/>
    <s v="03-12-2024"/>
    <n v="2"/>
    <n v="3310"/>
    <n v="6620"/>
    <x v="2"/>
    <x v="8"/>
    <n v="2024"/>
    <s v="Normal"/>
  </r>
  <r>
    <s v="CUST0066"/>
    <s v="Pooja Singh"/>
    <s v="Cycling Gloves"/>
    <x v="4"/>
    <x v="1"/>
    <s v="10-12-2024"/>
    <n v="2"/>
    <n v="370"/>
    <n v="740"/>
    <x v="1"/>
    <x v="8"/>
    <n v="2024"/>
    <s v="Normal"/>
  </r>
  <r>
    <s v="CUST0026"/>
    <s v="Ritu Chopra"/>
    <s v="Men's T-Shirt"/>
    <x v="5"/>
    <x v="2"/>
    <s v="08-11-2024"/>
    <n v="4"/>
    <n v="640"/>
    <n v="2560"/>
    <x v="2"/>
    <x v="1"/>
    <n v="2024"/>
    <s v="Normal"/>
  </r>
  <r>
    <s v="CUST0054"/>
    <s v="Rohit Joshi"/>
    <s v="Cricket Bat"/>
    <x v="4"/>
    <x v="3"/>
    <s v="10-09-2024"/>
    <n v="4"/>
    <n v="2090"/>
    <n v="8360"/>
    <x v="1"/>
    <x v="3"/>
    <n v="2024"/>
    <s v="Normal"/>
  </r>
  <r>
    <s v="CUST0019"/>
    <s v="Karan Joshi"/>
    <s v="Yoga Mat"/>
    <x v="4"/>
    <x v="0"/>
    <s v="05-08-2024"/>
    <n v="1"/>
    <n v="860"/>
    <n v="860"/>
    <x v="1"/>
    <x v="4"/>
    <n v="2024"/>
    <s v="Normal"/>
  </r>
  <r>
    <s v="CUST0067"/>
    <s v="Nikhil Malhotra"/>
    <s v="Pressure Cooker"/>
    <x v="6"/>
    <x v="0"/>
    <s v="21-08-2024"/>
    <n v="1"/>
    <n v="1920"/>
    <n v="1920"/>
    <x v="2"/>
    <x v="4"/>
    <n v="2024"/>
    <s v="Normal"/>
  </r>
  <r>
    <s v="CUST0068"/>
    <s v="Rohit Patel"/>
    <s v="Perfume"/>
    <x v="3"/>
    <x v="3"/>
    <s v="09-11-2024"/>
    <n v="4"/>
    <n v="1420"/>
    <n v="5680"/>
    <x v="0"/>
    <x v="1"/>
    <n v="2024"/>
    <s v="Normal"/>
  </r>
  <r>
    <s v="CUST0058"/>
    <s v="Suresh Chopra"/>
    <s v="Ethnic Wear"/>
    <x v="5"/>
    <x v="1"/>
    <s v="22-11-2024"/>
    <n v="2"/>
    <n v="3460"/>
    <n v="6920"/>
    <x v="0"/>
    <x v="1"/>
    <n v="2024"/>
    <s v="Normal"/>
  </r>
  <r>
    <s v="CUST0063"/>
    <s v="Ritu Rao"/>
    <s v="Cricket Bat"/>
    <x v="4"/>
    <x v="1"/>
    <s v="31-12-2024"/>
    <n v="1"/>
    <n v="1910"/>
    <n v="1910"/>
    <x v="1"/>
    <x v="8"/>
    <n v="2024"/>
    <s v="Normal"/>
  </r>
  <r>
    <s v="CUST0035"/>
    <s v="Sanjay Reddy"/>
    <s v="Tea 500g"/>
    <x v="0"/>
    <x v="0"/>
    <s v="11-03-2024"/>
    <n v="1"/>
    <n v="240"/>
    <n v="240"/>
    <x v="1"/>
    <x v="9"/>
    <n v="2024"/>
    <s v="Normal"/>
  </r>
  <r>
    <s v="CUST0050"/>
    <s v="Vijay Patel"/>
    <s v="Running Shoes"/>
    <x v="4"/>
    <x v="3"/>
    <s v="31-07-2024"/>
    <n v="1"/>
    <n v="3120"/>
    <n v="3120"/>
    <x v="2"/>
    <x v="7"/>
    <n v="2024"/>
    <s v="Normal"/>
  </r>
  <r>
    <s v="CUST0070"/>
    <s v="Karan Mehta"/>
    <s v="Pillow"/>
    <x v="6"/>
    <x v="2"/>
    <s v="18-07-2024"/>
    <n v="4"/>
    <n v="410"/>
    <n v="1640"/>
    <x v="0"/>
    <x v="7"/>
    <n v="2024"/>
    <s v="Normal"/>
  </r>
  <r>
    <s v="CUST0049"/>
    <s v="Pooja Kumar"/>
    <s v="Pressure Cooker"/>
    <x v="6"/>
    <x v="3"/>
    <s v="18-07-2024"/>
    <n v="3"/>
    <n v="2070"/>
    <n v="6210"/>
    <x v="0"/>
    <x v="7"/>
    <n v="2024"/>
    <s v="Normal"/>
  </r>
  <r>
    <s v="CUST0070"/>
    <s v="Karan Mehta"/>
    <s v="Cookbook"/>
    <x v="1"/>
    <x v="3"/>
    <s v="11-08-2024"/>
    <n v="3"/>
    <n v="500"/>
    <n v="1500"/>
    <x v="1"/>
    <x v="4"/>
    <n v="2024"/>
    <s v="Normal"/>
  </r>
  <r>
    <s v="CUST0050"/>
    <s v="Vijay Patel"/>
    <s v="Coffee 200g"/>
    <x v="0"/>
    <x v="2"/>
    <s v="06-03-2024"/>
    <n v="4"/>
    <n v="370"/>
    <n v="1480"/>
    <x v="2"/>
    <x v="9"/>
    <n v="2024"/>
    <s v="Normal"/>
  </r>
  <r>
    <s v="CUST0076"/>
    <s v="Shreya Sharma"/>
    <s v="Face Wash"/>
    <x v="3"/>
    <x v="3"/>
    <s v="10-03-2024"/>
    <n v="4"/>
    <n v="230"/>
    <n v="920"/>
    <x v="1"/>
    <x v="9"/>
    <n v="2024"/>
    <s v="Normal"/>
  </r>
  <r>
    <s v="CUST0007"/>
    <s v="Meera Patel"/>
    <s v="Coffee 200g"/>
    <x v="0"/>
    <x v="1"/>
    <s v="16-06-2024"/>
    <n v="4"/>
    <n v="340"/>
    <n v="1360"/>
    <x v="2"/>
    <x v="11"/>
    <n v="2024"/>
    <s v="Normal"/>
  </r>
  <r>
    <s v="CUST0036"/>
    <s v="Rohit Shah"/>
    <s v="Biography"/>
    <x v="1"/>
    <x v="2"/>
    <s v="28-08-2024"/>
    <n v="1"/>
    <n v="380"/>
    <n v="380"/>
    <x v="0"/>
    <x v="4"/>
    <n v="2024"/>
    <s v="Normal"/>
  </r>
  <r>
    <s v="CUST0070"/>
    <s v="Karan Mehta"/>
    <s v="Smartwatch"/>
    <x v="2"/>
    <x v="2"/>
    <s v="29-11-2024"/>
    <n v="1"/>
    <n v="12280"/>
    <n v="12280"/>
    <x v="1"/>
    <x v="1"/>
    <n v="2024"/>
    <s v="High"/>
  </r>
  <r>
    <s v="CUST0032"/>
    <s v="Raj Joshi"/>
    <s v="Men's T-Shirt"/>
    <x v="5"/>
    <x v="3"/>
    <s v="05-03-2024"/>
    <n v="2"/>
    <n v="720"/>
    <n v="1440"/>
    <x v="0"/>
    <x v="9"/>
    <n v="2024"/>
    <s v="Normal"/>
  </r>
  <r>
    <s v="CUST0015"/>
    <s v="Rahul Sharma"/>
    <s v="Body Lotion"/>
    <x v="3"/>
    <x v="0"/>
    <s v="07-07-2024"/>
    <n v="3"/>
    <n v="300"/>
    <n v="900"/>
    <x v="0"/>
    <x v="7"/>
    <n v="2024"/>
    <s v="Normal"/>
  </r>
  <r>
    <s v="CUST0078"/>
    <s v="Ananya Iyer"/>
    <s v="Dumbbells Set"/>
    <x v="4"/>
    <x v="2"/>
    <s v="08-06-2024"/>
    <n v="2"/>
    <n v="1580"/>
    <n v="3160"/>
    <x v="0"/>
    <x v="11"/>
    <n v="2024"/>
    <s v="Normal"/>
  </r>
  <r>
    <s v="CUST0004"/>
    <s v="Karan Gupta"/>
    <s v="Coffee 200g"/>
    <x v="0"/>
    <x v="0"/>
    <s v="08-02-2024"/>
    <n v="2"/>
    <n v="340"/>
    <n v="680"/>
    <x v="1"/>
    <x v="10"/>
    <n v="2024"/>
    <s v="Normal"/>
  </r>
  <r>
    <s v="CUST0039"/>
    <s v="Arjun Mishra"/>
    <s v="Self-Help Book"/>
    <x v="1"/>
    <x v="1"/>
    <s v="22-01-2024"/>
    <n v="5"/>
    <n v="320"/>
    <n v="1600"/>
    <x v="0"/>
    <x v="2"/>
    <n v="2024"/>
    <s v="Normal"/>
  </r>
  <r>
    <s v="CUST0055"/>
    <s v="Rekha Rao"/>
    <s v="Cycling Gloves"/>
    <x v="4"/>
    <x v="3"/>
    <s v="07-01-2024"/>
    <n v="3"/>
    <n v="360"/>
    <n v="1080"/>
    <x v="2"/>
    <x v="2"/>
    <n v="2024"/>
    <s v="Normal"/>
  </r>
  <r>
    <s v="CUST0014"/>
    <s v="Arjun Rao"/>
    <s v="Bedsheet Set"/>
    <x v="6"/>
    <x v="0"/>
    <s v="28-12-2024"/>
    <n v="4"/>
    <n v="1030"/>
    <n v="4120"/>
    <x v="2"/>
    <x v="8"/>
    <n v="2024"/>
    <s v="Normal"/>
  </r>
  <r>
    <s v="CUST0023"/>
    <s v="Kavya Mishra"/>
    <s v="Badminton Racket"/>
    <x v="4"/>
    <x v="3"/>
    <s v="04-09-2024"/>
    <n v="5"/>
    <n v="920"/>
    <n v="4600"/>
    <x v="2"/>
    <x v="3"/>
    <n v="2024"/>
    <s v="Normal"/>
  </r>
  <r>
    <s v="CUST0076"/>
    <s v="Shreya Sharma"/>
    <s v="Tea 500g"/>
    <x v="0"/>
    <x v="3"/>
    <s v="22-05-2024"/>
    <n v="1"/>
    <n v="240"/>
    <n v="240"/>
    <x v="1"/>
    <x v="0"/>
    <n v="2024"/>
    <s v="Normal"/>
  </r>
  <r>
    <s v="CUST0060"/>
    <s v="Karan Shah"/>
    <s v="Sunscreen"/>
    <x v="3"/>
    <x v="0"/>
    <s v="15-06-2024"/>
    <n v="4"/>
    <n v="340"/>
    <n v="1360"/>
    <x v="2"/>
    <x v="11"/>
    <n v="2024"/>
    <s v="Normal"/>
  </r>
  <r>
    <s v="CUST0028"/>
    <s v="Rekha Agarwal"/>
    <s v="Sugar 1kg"/>
    <x v="0"/>
    <x v="1"/>
    <s v="25-12-2024"/>
    <n v="5"/>
    <n v="50"/>
    <n v="250"/>
    <x v="0"/>
    <x v="8"/>
    <n v="2024"/>
    <s v="Normal"/>
  </r>
  <r>
    <s v="CUST0002"/>
    <s v="Aarav Nair"/>
    <s v="Body Lotion"/>
    <x v="3"/>
    <x v="0"/>
    <s v="07-09-2024"/>
    <n v="4"/>
    <n v="270"/>
    <n v="1080"/>
    <x v="0"/>
    <x v="3"/>
    <n v="2024"/>
    <s v="Normal"/>
  </r>
  <r>
    <s v="CUST0061"/>
    <s v="Ritu Iyer"/>
    <s v="Resistance Bands"/>
    <x v="4"/>
    <x v="1"/>
    <s v="17-02-2024"/>
    <n v="1"/>
    <n v="590"/>
    <n v="590"/>
    <x v="1"/>
    <x v="10"/>
    <n v="2024"/>
    <s v="Normal"/>
  </r>
  <r>
    <s v="CUST0052"/>
    <s v="Pallavi Kumar"/>
    <s v="Cricket Bat"/>
    <x v="4"/>
    <x v="3"/>
    <s v="07-07-2024"/>
    <n v="5"/>
    <n v="1920"/>
    <n v="9600"/>
    <x v="0"/>
    <x v="7"/>
    <n v="2024"/>
    <s v="Normal"/>
  </r>
  <r>
    <s v="CUST0068"/>
    <s v="Rohit Patel"/>
    <s v="Coffee 200g"/>
    <x v="0"/>
    <x v="1"/>
    <s v="18-06-2024"/>
    <n v="5"/>
    <n v="380"/>
    <n v="1900"/>
    <x v="0"/>
    <x v="11"/>
    <n v="2024"/>
    <s v="Normal"/>
  </r>
  <r>
    <s v="CUST0059"/>
    <s v="Karan Nair"/>
    <s v="Sugar 1kg"/>
    <x v="0"/>
    <x v="1"/>
    <s v="08-04-2024"/>
    <n v="1"/>
    <n v="50"/>
    <n v="50"/>
    <x v="1"/>
    <x v="6"/>
    <n v="2024"/>
    <s v="Normal"/>
  </r>
  <r>
    <s v="CUST0069"/>
    <s v="Swati Gupta"/>
    <s v="Children's Book"/>
    <x v="1"/>
    <x v="1"/>
    <s v="21-05-2024"/>
    <n v="4"/>
    <n v="190"/>
    <n v="760"/>
    <x v="1"/>
    <x v="0"/>
    <n v="2024"/>
    <s v="Normal"/>
  </r>
  <r>
    <s v="CUST0025"/>
    <s v="Pallavi Patel"/>
    <s v="Dal 1kg"/>
    <x v="0"/>
    <x v="0"/>
    <s v="08-01-2024"/>
    <n v="3"/>
    <n v="170"/>
    <n v="510"/>
    <x v="2"/>
    <x v="2"/>
    <n v="2024"/>
    <s v="Normal"/>
  </r>
  <r>
    <s v="CUST0006"/>
    <s v="Rohit Rao"/>
    <s v="Tablet"/>
    <x v="2"/>
    <x v="3"/>
    <s v="22-11-2024"/>
    <n v="2"/>
    <n v="25990"/>
    <n v="51980"/>
    <x v="1"/>
    <x v="1"/>
    <n v="2024"/>
    <s v="High"/>
  </r>
  <r>
    <s v="CUST0002"/>
    <s v="Aarav Nair"/>
    <s v="Lipstick"/>
    <x v="3"/>
    <x v="0"/>
    <s v="23-06-2024"/>
    <n v="4"/>
    <n v="500"/>
    <n v="2000"/>
    <x v="1"/>
    <x v="11"/>
    <n v="2024"/>
    <s v="Normal"/>
  </r>
  <r>
    <s v="CUST0033"/>
    <s v="Mohan Verma"/>
    <s v="Business Book"/>
    <x v="1"/>
    <x v="3"/>
    <s v="24-07-2024"/>
    <n v="1"/>
    <n v="410"/>
    <n v="410"/>
    <x v="1"/>
    <x v="7"/>
    <n v="2024"/>
    <s v="Normal"/>
  </r>
  <r>
    <s v="CUST0074"/>
    <s v="Sunita Chopra"/>
    <s v="Yoga Mat"/>
    <x v="4"/>
    <x v="2"/>
    <s v="04-06-2024"/>
    <n v="5"/>
    <n v="740"/>
    <n v="3700"/>
    <x v="1"/>
    <x v="11"/>
    <n v="2024"/>
    <s v="Normal"/>
  </r>
  <r>
    <s v="CUST0016"/>
    <s v="Sanjay Mehta"/>
    <s v="Sunscreen"/>
    <x v="3"/>
    <x v="3"/>
    <s v="25-04-2024"/>
    <n v="5"/>
    <n v="360"/>
    <n v="1800"/>
    <x v="2"/>
    <x v="6"/>
    <n v="2024"/>
    <s v="Normal"/>
  </r>
  <r>
    <s v="CUST0057"/>
    <s v="Vikram Malhotra"/>
    <s v="Coffee 200g"/>
    <x v="0"/>
    <x v="2"/>
    <s v="31-01-2024"/>
    <n v="5"/>
    <n v="340"/>
    <n v="1700"/>
    <x v="1"/>
    <x v="2"/>
    <n v="2024"/>
    <s v="Normal"/>
  </r>
  <r>
    <s v="CUST0028"/>
    <s v="Rekha Agarwal"/>
    <s v="Cooking Oil 5L"/>
    <x v="0"/>
    <x v="2"/>
    <s v="09-10-2024"/>
    <n v="2"/>
    <n v="650"/>
    <n v="1300"/>
    <x v="1"/>
    <x v="5"/>
    <n v="2024"/>
    <s v="Normal"/>
  </r>
  <r>
    <s v="CUST0001"/>
    <s v="Deepak Gupta"/>
    <s v="Curtains"/>
    <x v="6"/>
    <x v="2"/>
    <s v="29-05-2024"/>
    <n v="4"/>
    <n v="1350"/>
    <n v="5400"/>
    <x v="1"/>
    <x v="0"/>
    <n v="2024"/>
    <s v="Normal"/>
  </r>
  <r>
    <s v="CUST0037"/>
    <s v="Swati Gupta"/>
    <s v="Badminton Racket"/>
    <x v="4"/>
    <x v="0"/>
    <s v="06-02-2024"/>
    <n v="4"/>
    <n v="940"/>
    <n v="3760"/>
    <x v="2"/>
    <x v="10"/>
    <n v="2024"/>
    <s v="Normal"/>
  </r>
  <r>
    <s v="CUST0076"/>
    <s v="Shreya Sharma"/>
    <s v="Cricket Bat"/>
    <x v="4"/>
    <x v="0"/>
    <s v="25-04-2024"/>
    <n v="5"/>
    <n v="1970"/>
    <n v="9850"/>
    <x v="2"/>
    <x v="6"/>
    <n v="2024"/>
    <s v="Normal"/>
  </r>
  <r>
    <s v="CUST0019"/>
    <s v="Karan Joshi"/>
    <s v="Smartphone"/>
    <x v="2"/>
    <x v="1"/>
    <s v="31-10-2024"/>
    <n v="3"/>
    <n v="17730"/>
    <n v="53190"/>
    <x v="2"/>
    <x v="5"/>
    <n v="2024"/>
    <s v="High"/>
  </r>
  <r>
    <s v="CUST0016"/>
    <s v="Sanjay Mehta"/>
    <s v="Storage Container Set"/>
    <x v="6"/>
    <x v="3"/>
    <s v="13-09-2024"/>
    <n v="3"/>
    <n v="620"/>
    <n v="1860"/>
    <x v="2"/>
    <x v="3"/>
    <n v="2024"/>
    <s v="Normal"/>
  </r>
  <r>
    <s v="CUST0011"/>
    <s v="Aarav Iyer"/>
    <s v="Face Wash"/>
    <x v="3"/>
    <x v="1"/>
    <s v="05-11-2024"/>
    <n v="3"/>
    <n v="270"/>
    <n v="810"/>
    <x v="1"/>
    <x v="1"/>
    <n v="2024"/>
    <s v="Normal"/>
  </r>
  <r>
    <s v="CUST0012"/>
    <s v="Vikram Iyer"/>
    <s v="Men's T-Shirt"/>
    <x v="5"/>
    <x v="2"/>
    <s v="22-10-2024"/>
    <n v="3"/>
    <n v="770"/>
    <n v="2310"/>
    <x v="1"/>
    <x v="5"/>
    <n v="2024"/>
    <s v="Normal"/>
  </r>
  <r>
    <s v="CUST0061"/>
    <s v="Ritu Iyer"/>
    <s v="Hair Oil"/>
    <x v="3"/>
    <x v="3"/>
    <s v="26-10-2024"/>
    <n v="2"/>
    <n v="220"/>
    <n v="440"/>
    <x v="0"/>
    <x v="5"/>
    <n v="2024"/>
    <s v="Normal"/>
  </r>
  <r>
    <s v="CUST0063"/>
    <s v="Ritu Rao"/>
    <s v="Power Bank"/>
    <x v="2"/>
    <x v="2"/>
    <s v="13-06-2024"/>
    <n v="3"/>
    <n v="1260"/>
    <n v="3780"/>
    <x v="1"/>
    <x v="11"/>
    <n v="2024"/>
    <s v="Normal"/>
  </r>
  <r>
    <s v="CUST0043"/>
    <s v="Mohan Verma"/>
    <s v="Curtains"/>
    <x v="6"/>
    <x v="2"/>
    <s v="08-10-2024"/>
    <n v="4"/>
    <n v="1240"/>
    <n v="4960"/>
    <x v="2"/>
    <x v="5"/>
    <n v="2024"/>
    <s v="Normal"/>
  </r>
  <r>
    <s v="CUST0012"/>
    <s v="Vikram Iyer"/>
    <s v="Sugar 1kg"/>
    <x v="0"/>
    <x v="2"/>
    <s v="20-09-2024"/>
    <n v="4"/>
    <n v="50"/>
    <n v="200"/>
    <x v="0"/>
    <x v="3"/>
    <n v="2024"/>
    <s v="Normal"/>
  </r>
  <r>
    <s v="CUST0070"/>
    <s v="Karan Mehta"/>
    <s v="Pillow"/>
    <x v="6"/>
    <x v="3"/>
    <s v="04-07-2024"/>
    <n v="5"/>
    <n v="410"/>
    <n v="2050"/>
    <x v="0"/>
    <x v="7"/>
    <n v="2024"/>
    <s v="Normal"/>
  </r>
  <r>
    <s v="CUST0057"/>
    <s v="Vikram Malhotra"/>
    <s v="Fiction Novel"/>
    <x v="1"/>
    <x v="1"/>
    <s v="08-03-2024"/>
    <n v="5"/>
    <n v="330"/>
    <n v="1650"/>
    <x v="2"/>
    <x v="9"/>
    <n v="2024"/>
    <s v="Normal"/>
  </r>
  <r>
    <s v="CUST0063"/>
    <s v="Ritu Rao"/>
    <s v="Smartphone"/>
    <x v="2"/>
    <x v="0"/>
    <s v="02-05-2024"/>
    <n v="5"/>
    <n v="20800"/>
    <n v="104000"/>
    <x v="2"/>
    <x v="0"/>
    <n v="2024"/>
    <s v="High"/>
  </r>
  <r>
    <s v="CUST0071"/>
    <s v="Pallavi Tiwari"/>
    <s v="Bluetooth Speaker"/>
    <x v="2"/>
    <x v="2"/>
    <s v="24-08-2024"/>
    <n v="1"/>
    <n v="2300"/>
    <n v="2300"/>
    <x v="0"/>
    <x v="4"/>
    <n v="2024"/>
    <s v="Normal"/>
  </r>
  <r>
    <s v="CUST0020"/>
    <s v="Sanjay Kumar"/>
    <s v="Storage Container Set"/>
    <x v="6"/>
    <x v="3"/>
    <s v="31-07-2024"/>
    <n v="3"/>
    <n v="600"/>
    <n v="1800"/>
    <x v="2"/>
    <x v="7"/>
    <n v="2024"/>
    <s v="Normal"/>
  </r>
  <r>
    <s v="CUST0032"/>
    <s v="Raj Joshi"/>
    <s v="Water Bottle"/>
    <x v="6"/>
    <x v="0"/>
    <s v="17-09-2024"/>
    <n v="5"/>
    <n v="290"/>
    <n v="1450"/>
    <x v="1"/>
    <x v="3"/>
    <n v="2024"/>
    <s v="Normal"/>
  </r>
  <r>
    <s v="CUST0036"/>
    <s v="Rohit Shah"/>
    <s v="Biography"/>
    <x v="1"/>
    <x v="2"/>
    <s v="16-05-2024"/>
    <n v="5"/>
    <n v="390"/>
    <n v="1950"/>
    <x v="2"/>
    <x v="0"/>
    <n v="2024"/>
    <s v="Normal"/>
  </r>
  <r>
    <s v="CUST0039"/>
    <s v="Arjun Mishra"/>
    <s v="Business Book"/>
    <x v="1"/>
    <x v="3"/>
    <s v="02-10-2024"/>
    <n v="4"/>
    <n v="480"/>
    <n v="1920"/>
    <x v="2"/>
    <x v="5"/>
    <n v="2024"/>
    <s v="Normal"/>
  </r>
  <r>
    <s v="CUST0043"/>
    <s v="Mohan Verma"/>
    <s v="Sunscreen"/>
    <x v="3"/>
    <x v="0"/>
    <s v="06-04-2024"/>
    <n v="3"/>
    <n v="350"/>
    <n v="1050"/>
    <x v="0"/>
    <x v="6"/>
    <n v="2024"/>
    <s v="Normal"/>
  </r>
  <r>
    <s v="CUST0050"/>
    <s v="Vijay Patel"/>
    <s v="Shorts"/>
    <x v="5"/>
    <x v="3"/>
    <s v="27-12-2024"/>
    <n v="4"/>
    <n v="540"/>
    <n v="2160"/>
    <x v="2"/>
    <x v="8"/>
    <n v="2024"/>
    <s v="Normal"/>
  </r>
  <r>
    <s v="CUST0020"/>
    <s v="Sanjay Kumar"/>
    <s v="Pressure Cooker"/>
    <x v="6"/>
    <x v="2"/>
    <s v="18-06-2024"/>
    <n v="5"/>
    <n v="1760"/>
    <n v="8800"/>
    <x v="2"/>
    <x v="11"/>
    <n v="2024"/>
    <s v="Normal"/>
  </r>
  <r>
    <s v="CUST0013"/>
    <s v="Meera Shah"/>
    <s v="Hair Oil"/>
    <x v="3"/>
    <x v="0"/>
    <s v="28-07-2024"/>
    <n v="2"/>
    <n v="180"/>
    <n v="360"/>
    <x v="1"/>
    <x v="7"/>
    <n v="2024"/>
    <s v="Normal"/>
  </r>
  <r>
    <s v="CUST0061"/>
    <s v="Ritu Iyer"/>
    <s v="Academic Textbook"/>
    <x v="1"/>
    <x v="2"/>
    <s v="28-11-2024"/>
    <n v="4"/>
    <n v="770"/>
    <n v="3080"/>
    <x v="2"/>
    <x v="1"/>
    <n v="2024"/>
    <s v="Normal"/>
  </r>
  <r>
    <s v="CUST0069"/>
    <s v="Swati Gupta"/>
    <s v="Bedsheet Set"/>
    <x v="6"/>
    <x v="2"/>
    <s v="04-10-2024"/>
    <n v="4"/>
    <n v="1020"/>
    <n v="4080"/>
    <x v="0"/>
    <x v="5"/>
    <n v="2024"/>
    <s v="Normal"/>
  </r>
  <r>
    <s v="CUST0009"/>
    <s v="Vikram Shah"/>
    <s v="Saree"/>
    <x v="5"/>
    <x v="2"/>
    <s v="10-08-2024"/>
    <n v="1"/>
    <n v="2750"/>
    <n v="2750"/>
    <x v="0"/>
    <x v="4"/>
    <n v="2024"/>
    <s v="Normal"/>
  </r>
  <r>
    <s v="CUST0013"/>
    <s v="Meera Shah"/>
    <s v="Water Bottle"/>
    <x v="6"/>
    <x v="1"/>
    <s v="24-01-2024"/>
    <n v="1"/>
    <n v="310"/>
    <n v="310"/>
    <x v="1"/>
    <x v="2"/>
    <n v="2024"/>
    <s v="Normal"/>
  </r>
  <r>
    <s v="CUST0038"/>
    <s v="Suresh Nair"/>
    <s v="Tea 500g"/>
    <x v="0"/>
    <x v="3"/>
    <s v="28-09-2024"/>
    <n v="2"/>
    <n v="220"/>
    <n v="440"/>
    <x v="0"/>
    <x v="3"/>
    <n v="2024"/>
    <s v="Normal"/>
  </r>
  <r>
    <s v="CUST0024"/>
    <s v="Sunita Nair"/>
    <s v="Jeans"/>
    <x v="5"/>
    <x v="0"/>
    <s v="13-11-2024"/>
    <n v="4"/>
    <n v="1650"/>
    <n v="6600"/>
    <x v="2"/>
    <x v="1"/>
    <n v="2024"/>
    <s v="Normal"/>
  </r>
  <r>
    <s v="CUST0075"/>
    <s v="Nikhil Nair"/>
    <s v="Formal Shirt"/>
    <x v="5"/>
    <x v="1"/>
    <s v="23-08-2024"/>
    <n v="3"/>
    <n v="1490"/>
    <n v="4470"/>
    <x v="0"/>
    <x v="4"/>
    <n v="2024"/>
    <s v="Normal"/>
  </r>
  <r>
    <s v="CUST0002"/>
    <s v="Aarav Nair"/>
    <s v="Business Book"/>
    <x v="1"/>
    <x v="2"/>
    <s v="21-03-2024"/>
    <n v="5"/>
    <n v="490"/>
    <n v="2450"/>
    <x v="2"/>
    <x v="9"/>
    <n v="2024"/>
    <s v="Normal"/>
  </r>
  <r>
    <s v="CUST0045"/>
    <s v="Shreya Shah"/>
    <s v="Lipstick"/>
    <x v="3"/>
    <x v="1"/>
    <s v="19-12-2024"/>
    <n v="4"/>
    <n v="510"/>
    <n v="2040"/>
    <x v="2"/>
    <x v="8"/>
    <n v="2024"/>
    <s v="Normal"/>
  </r>
  <r>
    <s v="CUST0039"/>
    <s v="Arjun Mishra"/>
    <s v="Shorts"/>
    <x v="5"/>
    <x v="3"/>
    <s v="01-05-2024"/>
    <n v="1"/>
    <n v="640"/>
    <n v="640"/>
    <x v="0"/>
    <x v="0"/>
    <n v="2024"/>
    <s v="Normal"/>
  </r>
  <r>
    <s v="CUST0046"/>
    <s v="Anjali Chopra"/>
    <s v="Lipstick"/>
    <x v="3"/>
    <x v="3"/>
    <s v="12-01-2024"/>
    <n v="3"/>
    <n v="550"/>
    <n v="1650"/>
    <x v="2"/>
    <x v="2"/>
    <n v="2024"/>
    <s v="Normal"/>
  </r>
  <r>
    <s v="CUST0002"/>
    <s v="Aarav Nair"/>
    <s v="Face Wash"/>
    <x v="3"/>
    <x v="0"/>
    <s v="26-05-2024"/>
    <n v="4"/>
    <n v="270"/>
    <n v="1080"/>
    <x v="0"/>
    <x v="0"/>
    <n v="2024"/>
    <s v="Normal"/>
  </r>
  <r>
    <s v="CUST0046"/>
    <s v="Anjali Chopra"/>
    <s v="Formal Shirt"/>
    <x v="5"/>
    <x v="2"/>
    <s v="17-11-2024"/>
    <n v="2"/>
    <n v="1540"/>
    <n v="3080"/>
    <x v="0"/>
    <x v="1"/>
    <n v="2024"/>
    <s v="Normal"/>
  </r>
  <r>
    <s v="CUST0006"/>
    <s v="Rohit Rao"/>
    <s v="Spice Mix"/>
    <x v="0"/>
    <x v="2"/>
    <s v="08-03-2024"/>
    <n v="3"/>
    <n v="110"/>
    <n v="330"/>
    <x v="2"/>
    <x v="9"/>
    <n v="2024"/>
    <s v="Normal"/>
  </r>
  <r>
    <s v="CUST0042"/>
    <s v="Ananya Nair"/>
    <s v="Water Bottle"/>
    <x v="4"/>
    <x v="1"/>
    <s v="03-10-2024"/>
    <n v="2"/>
    <n v="330"/>
    <n v="660"/>
    <x v="0"/>
    <x v="5"/>
    <n v="2024"/>
    <s v="Normal"/>
  </r>
  <r>
    <s v="CUST0065"/>
    <s v="Suresh Mishra"/>
    <s v="Atta 10kg"/>
    <x v="0"/>
    <x v="1"/>
    <s v="31-05-2024"/>
    <n v="4"/>
    <n v="360"/>
    <n v="1440"/>
    <x v="1"/>
    <x v="0"/>
    <n v="2024"/>
    <s v="Normal"/>
  </r>
  <r>
    <s v="CUST0060"/>
    <s v="Karan Shah"/>
    <s v="Wireless Earbuds"/>
    <x v="2"/>
    <x v="3"/>
    <s v="12-12-2024"/>
    <n v="2"/>
    <n v="3680"/>
    <n v="7360"/>
    <x v="0"/>
    <x v="8"/>
    <n v="2024"/>
    <s v="Normal"/>
  </r>
  <r>
    <s v="CUST0047"/>
    <s v="Suresh Nair"/>
    <s v="Bluetooth Speaker"/>
    <x v="2"/>
    <x v="3"/>
    <s v="04-03-2024"/>
    <n v="5"/>
    <n v="2260"/>
    <n v="11300"/>
    <x v="2"/>
    <x v="9"/>
    <n v="2024"/>
    <s v="High"/>
  </r>
  <r>
    <s v="CUST0034"/>
    <s v="Priya Shah"/>
    <s v="Sunscreen"/>
    <x v="3"/>
    <x v="0"/>
    <s v="25-02-2024"/>
    <n v="3"/>
    <n v="370"/>
    <n v="1110"/>
    <x v="2"/>
    <x v="10"/>
    <n v="2024"/>
    <s v="Normal"/>
  </r>
  <r>
    <s v="CUST0004"/>
    <s v="Karan Gupta"/>
    <s v="Perfume"/>
    <x v="3"/>
    <x v="2"/>
    <s v="27-11-2024"/>
    <n v="2"/>
    <n v="1410"/>
    <n v="2820"/>
    <x v="0"/>
    <x v="1"/>
    <n v="2024"/>
    <s v="Normal"/>
  </r>
  <r>
    <s v="CUST0060"/>
    <s v="Karan Shah"/>
    <s v="Badminton Racket"/>
    <x v="4"/>
    <x v="2"/>
    <s v="12-03-2024"/>
    <n v="1"/>
    <n v="930"/>
    <n v="930"/>
    <x v="1"/>
    <x v="9"/>
    <n v="2024"/>
    <s v="Normal"/>
  </r>
  <r>
    <s v="CUST0039"/>
    <s v="Arjun Mishra"/>
    <s v="Non-stick Pan"/>
    <x v="6"/>
    <x v="3"/>
    <s v="10-03-2024"/>
    <n v="5"/>
    <n v="730"/>
    <n v="3650"/>
    <x v="2"/>
    <x v="9"/>
    <n v="2024"/>
    <s v="Normal"/>
  </r>
  <r>
    <s v="CUST0048"/>
    <s v="Rekha Iyer"/>
    <s v="Water Bottle"/>
    <x v="4"/>
    <x v="2"/>
    <s v="31-07-2024"/>
    <n v="2"/>
    <n v="360"/>
    <n v="720"/>
    <x v="2"/>
    <x v="7"/>
    <n v="2024"/>
    <s v="Normal"/>
  </r>
  <r>
    <s v="CUST0079"/>
    <s v="Sanjay Nair"/>
    <s v="Storage Container Set"/>
    <x v="6"/>
    <x v="3"/>
    <s v="21-04-2024"/>
    <n v="3"/>
    <n v="540"/>
    <n v="1620"/>
    <x v="2"/>
    <x v="6"/>
    <n v="2024"/>
    <s v="Normal"/>
  </r>
  <r>
    <s v="CUST0031"/>
    <s v="Anil Mishra"/>
    <s v="Comic Book"/>
    <x v="1"/>
    <x v="1"/>
    <s v="05-10-2024"/>
    <n v="3"/>
    <n v="140"/>
    <n v="420"/>
    <x v="1"/>
    <x v="5"/>
    <n v="2024"/>
    <s v="Normal"/>
  </r>
  <r>
    <s v="CUST0051"/>
    <s v="Pooja Patel"/>
    <s v="Dal 1kg"/>
    <x v="0"/>
    <x v="0"/>
    <s v="16-02-2024"/>
    <n v="4"/>
    <n v="200"/>
    <n v="800"/>
    <x v="0"/>
    <x v="10"/>
    <n v="2024"/>
    <s v="Normal"/>
  </r>
  <r>
    <s v="CUST0077"/>
    <s v="Ananya Gupta"/>
    <s v="Smartphone"/>
    <x v="2"/>
    <x v="0"/>
    <s v="05-03-2024"/>
    <n v="2"/>
    <n v="20090"/>
    <n v="40180"/>
    <x v="1"/>
    <x v="9"/>
    <n v="2024"/>
    <s v="High"/>
  </r>
  <r>
    <s v="CUST0071"/>
    <s v="Pallavi Tiwari"/>
    <s v="Formal Shirt"/>
    <x v="5"/>
    <x v="0"/>
    <s v="17-06-2024"/>
    <n v="2"/>
    <n v="1590"/>
    <n v="3180"/>
    <x v="0"/>
    <x v="11"/>
    <n v="2024"/>
    <s v="Normal"/>
  </r>
  <r>
    <s v="CUST0001"/>
    <s v="Deepak Gupta"/>
    <s v="Atta 10kg"/>
    <x v="0"/>
    <x v="0"/>
    <s v="08-05-2024"/>
    <n v="5"/>
    <n v="420"/>
    <n v="2100"/>
    <x v="1"/>
    <x v="0"/>
    <n v="2024"/>
    <s v="Normal"/>
  </r>
  <r>
    <s v="CUST0004"/>
    <s v="Karan Gupta"/>
    <s v="Men's T-Shirt"/>
    <x v="5"/>
    <x v="1"/>
    <s v="28-10-2024"/>
    <n v="2"/>
    <n v="680"/>
    <n v="1360"/>
    <x v="1"/>
    <x v="5"/>
    <n v="2024"/>
    <s v="Normal"/>
  </r>
  <r>
    <s v="CUST0023"/>
    <s v="Kavya Mishra"/>
    <s v="Basmati Rice 5kg"/>
    <x v="0"/>
    <x v="2"/>
    <s v="26-09-2024"/>
    <n v="4"/>
    <n v="420"/>
    <n v="1680"/>
    <x v="0"/>
    <x v="3"/>
    <n v="2024"/>
    <s v="Normal"/>
  </r>
  <r>
    <s v="CUST0009"/>
    <s v="Vikram Shah"/>
    <s v="Curtains"/>
    <x v="6"/>
    <x v="2"/>
    <s v="30-10-2024"/>
    <n v="5"/>
    <n v="1370"/>
    <n v="6850"/>
    <x v="2"/>
    <x v="5"/>
    <n v="2024"/>
    <s v="Normal"/>
  </r>
  <r>
    <s v="CUST0065"/>
    <s v="Suresh Mishra"/>
    <s v="Men's T-Shirt"/>
    <x v="5"/>
    <x v="3"/>
    <s v="03-06-2024"/>
    <n v="5"/>
    <n v="730"/>
    <n v="3650"/>
    <x v="0"/>
    <x v="11"/>
    <n v="2024"/>
    <s v="Normal"/>
  </r>
  <r>
    <s v="CUST0004"/>
    <s v="Karan Gupta"/>
    <s v="Power Bank"/>
    <x v="2"/>
    <x v="2"/>
    <s v="17-12-2024"/>
    <n v="4"/>
    <n v="1390"/>
    <n v="5560"/>
    <x v="2"/>
    <x v="8"/>
    <n v="2024"/>
    <s v="Normal"/>
  </r>
  <r>
    <s v="CUST0057"/>
    <s v="Vikram Malhotra"/>
    <s v="Laptop"/>
    <x v="2"/>
    <x v="0"/>
    <s v="03-02-2024"/>
    <n v="2"/>
    <n v="53040"/>
    <n v="106080"/>
    <x v="2"/>
    <x v="10"/>
    <n v="2024"/>
    <s v="High"/>
  </r>
  <r>
    <s v="CUST0080"/>
    <s v="Sanjay Kumar"/>
    <s v="Cycling Gloves"/>
    <x v="4"/>
    <x v="1"/>
    <s v="28-09-2024"/>
    <n v="5"/>
    <n v="390"/>
    <n v="1950"/>
    <x v="2"/>
    <x v="3"/>
    <n v="2024"/>
    <s v="Normal"/>
  </r>
  <r>
    <s v="CUST0065"/>
    <s v="Suresh Mishra"/>
    <s v="Sunscreen"/>
    <x v="3"/>
    <x v="0"/>
    <s v="01-12-2024"/>
    <n v="1"/>
    <n v="320"/>
    <n v="320"/>
    <x v="2"/>
    <x v="8"/>
    <n v="2024"/>
    <s v="Normal"/>
  </r>
  <r>
    <s v="CUST0058"/>
    <s v="Suresh Chopra"/>
    <s v="Shorts"/>
    <x v="5"/>
    <x v="3"/>
    <s v="23-07-2024"/>
    <n v="4"/>
    <n v="580"/>
    <n v="2320"/>
    <x v="0"/>
    <x v="7"/>
    <n v="2024"/>
    <s v="Normal"/>
  </r>
  <r>
    <s v="CUST0013"/>
    <s v="Meera Shah"/>
    <s v="Coffee 200g"/>
    <x v="0"/>
    <x v="0"/>
    <s v="10-07-2024"/>
    <n v="3"/>
    <n v="340"/>
    <n v="1020"/>
    <x v="0"/>
    <x v="7"/>
    <n v="2024"/>
    <s v="Normal"/>
  </r>
  <r>
    <s v="CUST0061"/>
    <s v="Ritu Iyer"/>
    <s v="Laptop"/>
    <x v="2"/>
    <x v="2"/>
    <s v="09-08-2024"/>
    <n v="1"/>
    <n v="58650"/>
    <n v="58650"/>
    <x v="0"/>
    <x v="4"/>
    <n v="2024"/>
    <s v="High"/>
  </r>
  <r>
    <s v="CUST0048"/>
    <s v="Rekha Iyer"/>
    <s v="Children's Book"/>
    <x v="1"/>
    <x v="1"/>
    <s v="14-10-2024"/>
    <n v="5"/>
    <n v="200"/>
    <n v="1000"/>
    <x v="0"/>
    <x v="5"/>
    <n v="2024"/>
    <s v="Normal"/>
  </r>
  <r>
    <s v="CUST0016"/>
    <s v="Sanjay Mehta"/>
    <s v="Bedsheet Set"/>
    <x v="6"/>
    <x v="1"/>
    <s v="27-01-2024"/>
    <n v="4"/>
    <n v="1070"/>
    <n v="4280"/>
    <x v="0"/>
    <x v="2"/>
    <n v="2024"/>
    <s v="Normal"/>
  </r>
  <r>
    <s v="CUST0040"/>
    <s v="Anjali Mishra"/>
    <s v="Cooking Oil 5L"/>
    <x v="0"/>
    <x v="3"/>
    <s v="20-03-2024"/>
    <n v="2"/>
    <n v="710"/>
    <n v="1420"/>
    <x v="1"/>
    <x v="9"/>
    <n v="2024"/>
    <s v="Normal"/>
  </r>
  <r>
    <s v="CUST0014"/>
    <s v="Arjun Rao"/>
    <s v="Tea 500g"/>
    <x v="0"/>
    <x v="0"/>
    <s v="20-10-2024"/>
    <n v="3"/>
    <n v="200"/>
    <n v="600"/>
    <x v="2"/>
    <x v="5"/>
    <n v="2024"/>
    <s v="Normal"/>
  </r>
  <r>
    <s v="CUST0072"/>
    <s v="Sunita Verma"/>
    <s v="Fiction Novel"/>
    <x v="1"/>
    <x v="0"/>
    <s v="15-01-2024"/>
    <n v="3"/>
    <n v="360"/>
    <n v="1080"/>
    <x v="2"/>
    <x v="2"/>
    <n v="2024"/>
    <s v="Normal"/>
  </r>
  <r>
    <s v="CUST0040"/>
    <s v="Anjali Mishra"/>
    <s v="Tea 500g"/>
    <x v="0"/>
    <x v="3"/>
    <s v="16-10-2024"/>
    <n v="2"/>
    <n v="200"/>
    <n v="400"/>
    <x v="1"/>
    <x v="5"/>
    <n v="2024"/>
    <s v="Normal"/>
  </r>
  <r>
    <s v="CUST0019"/>
    <s v="Karan Joshi"/>
    <s v="Yoga Mat"/>
    <x v="4"/>
    <x v="3"/>
    <s v="20-04-2024"/>
    <n v="5"/>
    <n v="730"/>
    <n v="3650"/>
    <x v="2"/>
    <x v="6"/>
    <n v="2024"/>
    <s v="Normal"/>
  </r>
  <r>
    <s v="CUST0059"/>
    <s v="Karan Nair"/>
    <s v="Atta 10kg"/>
    <x v="0"/>
    <x v="2"/>
    <s v="17-10-2024"/>
    <n v="3"/>
    <n v="370"/>
    <n v="1110"/>
    <x v="1"/>
    <x v="5"/>
    <n v="2024"/>
    <s v="Normal"/>
  </r>
  <r>
    <s v="CUST0020"/>
    <s v="Sanjay Kumar"/>
    <s v="Men's T-Shirt"/>
    <x v="5"/>
    <x v="3"/>
    <s v="14-08-2024"/>
    <n v="3"/>
    <n v="720"/>
    <n v="2160"/>
    <x v="2"/>
    <x v="4"/>
    <n v="2024"/>
    <s v="Normal"/>
  </r>
  <r>
    <s v="CUST0078"/>
    <s v="Ananya Iyer"/>
    <s v="Pillow"/>
    <x v="6"/>
    <x v="1"/>
    <s v="28-02-2024"/>
    <n v="5"/>
    <n v="430"/>
    <n v="2150"/>
    <x v="2"/>
    <x v="10"/>
    <n v="2024"/>
    <s v="Normal"/>
  </r>
  <r>
    <s v="CUST0015"/>
    <s v="Rahul Sharma"/>
    <s v="Spice Mix"/>
    <x v="0"/>
    <x v="0"/>
    <s v="24-01-2024"/>
    <n v="3"/>
    <n v="120"/>
    <n v="360"/>
    <x v="2"/>
    <x v="2"/>
    <n v="2024"/>
    <s v="Normal"/>
  </r>
  <r>
    <s v="CUST0077"/>
    <s v="Ananya Gupta"/>
    <s v="Smartphone"/>
    <x v="2"/>
    <x v="1"/>
    <s v="11-03-2024"/>
    <n v="2"/>
    <n v="17880"/>
    <n v="35760"/>
    <x v="2"/>
    <x v="9"/>
    <n v="2024"/>
    <s v="High"/>
  </r>
  <r>
    <s v="CUST0042"/>
    <s v="Ananya Nair"/>
    <s v="Smartphone"/>
    <x v="2"/>
    <x v="0"/>
    <s v="30-03-2024"/>
    <n v="4"/>
    <n v="18990"/>
    <n v="75960"/>
    <x v="2"/>
    <x v="9"/>
    <n v="2024"/>
    <s v="High"/>
  </r>
  <r>
    <s v="CUST0069"/>
    <s v="Swati Gupta"/>
    <s v="Cricket Bat"/>
    <x v="4"/>
    <x v="3"/>
    <s v="06-02-2024"/>
    <n v="3"/>
    <n v="2000"/>
    <n v="6000"/>
    <x v="0"/>
    <x v="10"/>
    <n v="2024"/>
    <s v="Normal"/>
  </r>
  <r>
    <s v="CUST0006"/>
    <s v="Rohit Rao"/>
    <s v="Pressure Cooker"/>
    <x v="6"/>
    <x v="3"/>
    <s v="09-06-2024"/>
    <n v="1"/>
    <n v="1880"/>
    <n v="1880"/>
    <x v="0"/>
    <x v="11"/>
    <n v="2024"/>
    <s v="Normal"/>
  </r>
  <r>
    <s v="CUST0052"/>
    <s v="Pallavi Kumar"/>
    <s v="Water Bottle"/>
    <x v="4"/>
    <x v="1"/>
    <s v="11-01-2024"/>
    <n v="4"/>
    <n v="330"/>
    <n v="1320"/>
    <x v="1"/>
    <x v="2"/>
    <n v="2024"/>
    <s v="Normal"/>
  </r>
  <r>
    <s v="CUST0080"/>
    <s v="Sanjay Kumar"/>
    <s v="Bedsheet Set"/>
    <x v="6"/>
    <x v="3"/>
    <s v="04-05-2024"/>
    <n v="1"/>
    <n v="920"/>
    <n v="920"/>
    <x v="0"/>
    <x v="0"/>
    <n v="2024"/>
    <s v="Normal"/>
  </r>
  <r>
    <s v="CUST0052"/>
    <s v="Pallavi Kumar"/>
    <s v="Moisturizer"/>
    <x v="3"/>
    <x v="0"/>
    <s v="22-06-2024"/>
    <n v="3"/>
    <n v="390"/>
    <n v="1170"/>
    <x v="2"/>
    <x v="11"/>
    <n v="2024"/>
    <s v="Normal"/>
  </r>
  <r>
    <s v="CUST0022"/>
    <s v="Suresh Gupta"/>
    <s v="Laptop"/>
    <x v="2"/>
    <x v="1"/>
    <s v="27-06-2024"/>
    <n v="2"/>
    <n v="55340"/>
    <n v="110680"/>
    <x v="0"/>
    <x v="11"/>
    <n v="2024"/>
    <s v="High"/>
  </r>
  <r>
    <s v="CUST0019"/>
    <s v="Karan Joshi"/>
    <s v="Women's Kurti"/>
    <x v="5"/>
    <x v="0"/>
    <s v="29-03-2024"/>
    <n v="2"/>
    <n v="1110"/>
    <n v="2220"/>
    <x v="0"/>
    <x v="9"/>
    <n v="2024"/>
    <s v="Normal"/>
  </r>
  <r>
    <s v="CUST0010"/>
    <s v="Nikhil Das"/>
    <s v="Ethnic Wear"/>
    <x v="5"/>
    <x v="3"/>
    <s v="23-10-2024"/>
    <n v="5"/>
    <n v="3470"/>
    <n v="17350"/>
    <x v="0"/>
    <x v="5"/>
    <n v="2024"/>
    <s v="High"/>
  </r>
  <r>
    <s v="CUST0073"/>
    <s v="Suresh Agarwal"/>
    <s v="Cycling Gloves"/>
    <x v="4"/>
    <x v="3"/>
    <s v="18-03-2024"/>
    <n v="3"/>
    <n v="430"/>
    <n v="1290"/>
    <x v="1"/>
    <x v="9"/>
    <n v="2024"/>
    <s v="Normal"/>
  </r>
  <r>
    <s v="CUST0061"/>
    <s v="Ritu Iyer"/>
    <s v="Storage Container Set"/>
    <x v="6"/>
    <x v="1"/>
    <s v="29-01-2024"/>
    <n v="5"/>
    <n v="630"/>
    <n v="3150"/>
    <x v="0"/>
    <x v="2"/>
    <n v="2024"/>
    <s v="Normal"/>
  </r>
  <r>
    <s v="CUST0010"/>
    <s v="Nikhil Das"/>
    <s v="Spice Mix"/>
    <x v="0"/>
    <x v="1"/>
    <s v="07-07-2024"/>
    <n v="1"/>
    <n v="120"/>
    <n v="120"/>
    <x v="1"/>
    <x v="7"/>
    <n v="2024"/>
    <s v="Normal"/>
  </r>
  <r>
    <s v="CUST0012"/>
    <s v="Vikram Iyer"/>
    <s v="Sunscreen"/>
    <x v="3"/>
    <x v="3"/>
    <s v="22-01-2024"/>
    <n v="5"/>
    <n v="350"/>
    <n v="1750"/>
    <x v="0"/>
    <x v="2"/>
    <n v="2024"/>
    <s v="Normal"/>
  </r>
  <r>
    <s v="CUST0025"/>
    <s v="Pallavi Patel"/>
    <s v="Spice Mix"/>
    <x v="0"/>
    <x v="2"/>
    <s v="18-08-2024"/>
    <n v="1"/>
    <n v="120"/>
    <n v="120"/>
    <x v="2"/>
    <x v="4"/>
    <n v="2024"/>
    <s v="Normal"/>
  </r>
  <r>
    <s v="CUST0011"/>
    <s v="Aarav Iyer"/>
    <s v="Shampoo"/>
    <x v="3"/>
    <x v="0"/>
    <s v="12-08-2024"/>
    <n v="4"/>
    <n v="320"/>
    <n v="1280"/>
    <x v="2"/>
    <x v="4"/>
    <n v="2024"/>
    <s v="Normal"/>
  </r>
  <r>
    <s v="CUST0048"/>
    <s v="Rekha Iyer"/>
    <s v="Coffee 200g"/>
    <x v="0"/>
    <x v="2"/>
    <s v="13-12-2024"/>
    <n v="3"/>
    <n v="340"/>
    <n v="1020"/>
    <x v="0"/>
    <x v="8"/>
    <n v="2024"/>
    <s v="Normal"/>
  </r>
  <r>
    <s v="CUST0043"/>
    <s v="Mohan Verma"/>
    <s v="Smartwatch"/>
    <x v="2"/>
    <x v="1"/>
    <s v="25-05-2024"/>
    <n v="4"/>
    <n v="11940"/>
    <n v="47760"/>
    <x v="0"/>
    <x v="0"/>
    <n v="2024"/>
    <s v="High"/>
  </r>
  <r>
    <s v="CUST0078"/>
    <s v="Ananya Iyer"/>
    <s v="Children's Book"/>
    <x v="1"/>
    <x v="0"/>
    <s v="05-12-2024"/>
    <n v="5"/>
    <n v="190"/>
    <n v="950"/>
    <x v="2"/>
    <x v="8"/>
    <n v="2024"/>
    <s v="Normal"/>
  </r>
  <r>
    <s v="CUST0040"/>
    <s v="Anjali Mishra"/>
    <s v="Water Bottle"/>
    <x v="4"/>
    <x v="3"/>
    <s v="07-06-2024"/>
    <n v="1"/>
    <n v="320"/>
    <n v="320"/>
    <x v="0"/>
    <x v="11"/>
    <n v="2024"/>
    <s v="Normal"/>
  </r>
  <r>
    <s v="CUST0043"/>
    <s v="Mohan Verma"/>
    <s v="Children's Book"/>
    <x v="1"/>
    <x v="3"/>
    <s v="17-02-2024"/>
    <n v="5"/>
    <n v="210"/>
    <n v="1050"/>
    <x v="0"/>
    <x v="10"/>
    <n v="2024"/>
    <s v="Normal"/>
  </r>
  <r>
    <s v="CUST0047"/>
    <s v="Suresh Nair"/>
    <s v="Smartwatch"/>
    <x v="2"/>
    <x v="3"/>
    <s v="23-06-2024"/>
    <n v="2"/>
    <n v="12500"/>
    <n v="25000"/>
    <x v="1"/>
    <x v="11"/>
    <n v="2024"/>
    <s v="High"/>
  </r>
  <r>
    <s v="CUST0029"/>
    <s v="Rohit Iyer"/>
    <s v="Jeans"/>
    <x v="5"/>
    <x v="2"/>
    <s v="16-09-2024"/>
    <n v="1"/>
    <n v="1650"/>
    <n v="1650"/>
    <x v="0"/>
    <x v="3"/>
    <n v="2024"/>
    <s v="Normal"/>
  </r>
  <r>
    <s v="CUST0044"/>
    <s v="Sunita Mehta"/>
    <s v="Children's Book"/>
    <x v="1"/>
    <x v="0"/>
    <s v="24-03-2024"/>
    <n v="2"/>
    <n v="200"/>
    <n v="400"/>
    <x v="0"/>
    <x v="9"/>
    <n v="2024"/>
    <s v="Normal"/>
  </r>
  <r>
    <s v="CUST0080"/>
    <s v="Sanjay Kumar"/>
    <s v="Children's Book"/>
    <x v="1"/>
    <x v="1"/>
    <s v="29-07-2024"/>
    <n v="1"/>
    <n v="210"/>
    <n v="210"/>
    <x v="0"/>
    <x v="7"/>
    <n v="2024"/>
    <s v="Normal"/>
  </r>
  <r>
    <s v="CUST0031"/>
    <s v="Anil Mishra"/>
    <s v="Storage Container Set"/>
    <x v="6"/>
    <x v="0"/>
    <s v="29-04-2024"/>
    <n v="4"/>
    <n v="630"/>
    <n v="2520"/>
    <x v="2"/>
    <x v="6"/>
    <n v="2024"/>
    <s v="Normal"/>
  </r>
  <r>
    <s v="CUST0061"/>
    <s v="Ritu Iyer"/>
    <s v="Cookbook"/>
    <x v="1"/>
    <x v="3"/>
    <s v="13-08-2024"/>
    <n v="5"/>
    <n v="490"/>
    <n v="2450"/>
    <x v="2"/>
    <x v="4"/>
    <n v="2024"/>
    <s v="Normal"/>
  </r>
  <r>
    <s v="CUST0049"/>
    <s v="Pooja Kumar"/>
    <s v="Sunscreen"/>
    <x v="3"/>
    <x v="0"/>
    <s v="05-11-2024"/>
    <n v="2"/>
    <n v="380"/>
    <n v="760"/>
    <x v="2"/>
    <x v="1"/>
    <n v="2024"/>
    <s v="Normal"/>
  </r>
  <r>
    <s v="CUST0007"/>
    <s v="Meera Patel"/>
    <s v="Resistance Bands"/>
    <x v="4"/>
    <x v="2"/>
    <s v="22-02-2024"/>
    <n v="5"/>
    <n v="640"/>
    <n v="3200"/>
    <x v="2"/>
    <x v="10"/>
    <n v="2024"/>
    <s v="Normal"/>
  </r>
  <r>
    <s v="CUST0011"/>
    <s v="Aarav Iyer"/>
    <s v="Children's Book"/>
    <x v="1"/>
    <x v="3"/>
    <s v="16-03-2024"/>
    <n v="5"/>
    <n v="190"/>
    <n v="950"/>
    <x v="1"/>
    <x v="9"/>
    <n v="2024"/>
    <s v="Normal"/>
  </r>
  <r>
    <s v="CUST0029"/>
    <s v="Rohit Iyer"/>
    <s v="Business Book"/>
    <x v="1"/>
    <x v="2"/>
    <s v="31-07-2024"/>
    <n v="1"/>
    <n v="480"/>
    <n v="480"/>
    <x v="2"/>
    <x v="7"/>
    <n v="2024"/>
    <s v="Normal"/>
  </r>
  <r>
    <s v="CUST0065"/>
    <s v="Suresh Mishra"/>
    <s v="Dal 1kg"/>
    <x v="0"/>
    <x v="0"/>
    <s v="10-07-2024"/>
    <n v="1"/>
    <n v="180"/>
    <n v="180"/>
    <x v="1"/>
    <x v="7"/>
    <n v="2024"/>
    <s v="Normal"/>
  </r>
  <r>
    <s v="CUST0041"/>
    <s v="Kavya Joshi"/>
    <s v="Smartwatch"/>
    <x v="2"/>
    <x v="1"/>
    <s v="20-01-2024"/>
    <n v="2"/>
    <n v="13760"/>
    <n v="27520"/>
    <x v="2"/>
    <x v="2"/>
    <n v="2024"/>
    <s v="High"/>
  </r>
  <r>
    <s v="CUST0018"/>
    <s v="Amit Nair"/>
    <s v="Business Book"/>
    <x v="1"/>
    <x v="2"/>
    <s v="10-02-2024"/>
    <n v="1"/>
    <n v="440"/>
    <n v="440"/>
    <x v="2"/>
    <x v="10"/>
    <n v="2024"/>
    <s v="Normal"/>
  </r>
  <r>
    <s v="CUST0028"/>
    <s v="Rekha Agarwal"/>
    <s v="Children's Book"/>
    <x v="1"/>
    <x v="3"/>
    <s v="27-09-2024"/>
    <n v="5"/>
    <n v="200"/>
    <n v="1000"/>
    <x v="1"/>
    <x v="3"/>
    <n v="2024"/>
    <s v="Normal"/>
  </r>
  <r>
    <s v="CUST0037"/>
    <s v="Swati Gupta"/>
    <s v="Saree"/>
    <x v="5"/>
    <x v="3"/>
    <s v="02-08-2024"/>
    <n v="2"/>
    <n v="2310"/>
    <n v="4620"/>
    <x v="1"/>
    <x v="4"/>
    <n v="2024"/>
    <s v="Normal"/>
  </r>
  <r>
    <s v="CUST0015"/>
    <s v="Rahul Sharma"/>
    <s v="Business Book"/>
    <x v="1"/>
    <x v="0"/>
    <s v="19-11-2024"/>
    <n v="1"/>
    <n v="460"/>
    <n v="460"/>
    <x v="0"/>
    <x v="1"/>
    <n v="2024"/>
    <s v="Normal"/>
  </r>
  <r>
    <s v="CUST0019"/>
    <s v="Karan Joshi"/>
    <s v="Coffee 200g"/>
    <x v="0"/>
    <x v="3"/>
    <s v="03-05-2024"/>
    <n v="3"/>
    <n v="320"/>
    <n v="960"/>
    <x v="1"/>
    <x v="0"/>
    <n v="2024"/>
    <s v="Normal"/>
  </r>
  <r>
    <s v="CUST0011"/>
    <s v="Aarav Iyer"/>
    <s v="Perfume"/>
    <x v="3"/>
    <x v="2"/>
    <s v="05-10-2024"/>
    <n v="5"/>
    <n v="1190"/>
    <n v="5950"/>
    <x v="2"/>
    <x v="5"/>
    <n v="2024"/>
    <s v="Normal"/>
  </r>
  <r>
    <s v="CUST0061"/>
    <s v="Ritu Iyer"/>
    <s v="Bluetooth Speaker"/>
    <x v="2"/>
    <x v="1"/>
    <s v="09-01-2024"/>
    <n v="3"/>
    <n v="2740"/>
    <n v="8220"/>
    <x v="1"/>
    <x v="2"/>
    <n v="2024"/>
    <s v="Normal"/>
  </r>
  <r>
    <s v="CUST0045"/>
    <s v="Shreya Shah"/>
    <s v="Women's Kurti"/>
    <x v="5"/>
    <x v="2"/>
    <s v="09-03-2024"/>
    <n v="3"/>
    <n v="1260"/>
    <n v="3780"/>
    <x v="2"/>
    <x v="9"/>
    <n v="2024"/>
    <s v="Normal"/>
  </r>
  <r>
    <s v="CUST0070"/>
    <s v="Karan Mehta"/>
    <s v="Atta 10kg"/>
    <x v="0"/>
    <x v="3"/>
    <s v="22-12-2024"/>
    <n v="4"/>
    <n v="410"/>
    <n v="1640"/>
    <x v="0"/>
    <x v="8"/>
    <n v="2024"/>
    <s v="Normal"/>
  </r>
  <r>
    <s v="CUST0024"/>
    <s v="Sunita Nair"/>
    <s v="Children's Book"/>
    <x v="1"/>
    <x v="1"/>
    <s v="19-01-2024"/>
    <n v="4"/>
    <n v="180"/>
    <n v="720"/>
    <x v="1"/>
    <x v="2"/>
    <n v="2024"/>
    <s v="Normal"/>
  </r>
  <r>
    <s v="CUST0006"/>
    <s v="Rohit Rao"/>
    <s v="Cookbook"/>
    <x v="1"/>
    <x v="3"/>
    <s v="07-06-2024"/>
    <n v="3"/>
    <n v="540"/>
    <n v="1620"/>
    <x v="0"/>
    <x v="11"/>
    <n v="2024"/>
    <s v="Normal"/>
  </r>
  <r>
    <s v="CUST0061"/>
    <s v="Ritu Iyer"/>
    <s v="Basmati Rice 5kg"/>
    <x v="0"/>
    <x v="1"/>
    <s v="26-05-2024"/>
    <n v="2"/>
    <n v="470"/>
    <n v="940"/>
    <x v="1"/>
    <x v="0"/>
    <n v="2024"/>
    <s v="Normal"/>
  </r>
  <r>
    <s v="CUST0043"/>
    <s v="Mohan Verma"/>
    <s v="Cooking Oil 5L"/>
    <x v="0"/>
    <x v="3"/>
    <s v="23-07-2024"/>
    <n v="4"/>
    <n v="740"/>
    <n v="2960"/>
    <x v="2"/>
    <x v="7"/>
    <n v="2024"/>
    <s v="Normal"/>
  </r>
  <r>
    <s v="CUST0044"/>
    <s v="Sunita Mehta"/>
    <s v="Ethnic Wear"/>
    <x v="5"/>
    <x v="1"/>
    <s v="22-09-2024"/>
    <n v="3"/>
    <n v="3630"/>
    <n v="10890"/>
    <x v="1"/>
    <x v="3"/>
    <n v="2024"/>
    <s v="High"/>
  </r>
  <r>
    <s v="CUST0055"/>
    <s v="Rekha Rao"/>
    <s v="Bluetooth Speaker"/>
    <x v="2"/>
    <x v="1"/>
    <s v="06-10-2024"/>
    <n v="2"/>
    <n v="2550"/>
    <n v="5100"/>
    <x v="2"/>
    <x v="5"/>
    <n v="2024"/>
    <s v="Normal"/>
  </r>
  <r>
    <s v="CUST0014"/>
    <s v="Arjun Rao"/>
    <s v="Smartwatch"/>
    <x v="2"/>
    <x v="3"/>
    <s v="16-08-2024"/>
    <n v="3"/>
    <n v="13420"/>
    <n v="40260"/>
    <x v="1"/>
    <x v="4"/>
    <n v="2024"/>
    <s v="High"/>
  </r>
  <r>
    <s v="CUST0057"/>
    <s v="Vikram Malhotra"/>
    <s v="Spice Mix"/>
    <x v="0"/>
    <x v="3"/>
    <s v="10-11-2024"/>
    <n v="3"/>
    <n v="110"/>
    <n v="330"/>
    <x v="2"/>
    <x v="1"/>
    <n v="2024"/>
    <s v="Normal"/>
  </r>
  <r>
    <s v="CUST0008"/>
    <s v="Aarav Verma"/>
    <s v="Bluetooth Speaker"/>
    <x v="2"/>
    <x v="0"/>
    <s v="16-01-2024"/>
    <n v="2"/>
    <n v="2430"/>
    <n v="4860"/>
    <x v="0"/>
    <x v="2"/>
    <n v="2024"/>
    <s v="Normal"/>
  </r>
  <r>
    <s v="CUST0057"/>
    <s v="Vikram Malhotra"/>
    <s v="Wireless Earbuds"/>
    <x v="2"/>
    <x v="3"/>
    <s v="04-07-2024"/>
    <n v="3"/>
    <n v="3200"/>
    <n v="9600"/>
    <x v="0"/>
    <x v="7"/>
    <n v="2024"/>
    <s v="Normal"/>
  </r>
  <r>
    <s v="CUST0005"/>
    <s v="Ananya Iyer"/>
    <s v="Shampoo"/>
    <x v="3"/>
    <x v="3"/>
    <s v="09-07-2024"/>
    <n v="3"/>
    <n v="360"/>
    <n v="1080"/>
    <x v="1"/>
    <x v="7"/>
    <n v="2024"/>
    <s v="Normal"/>
  </r>
  <r>
    <s v="CUST0074"/>
    <s v="Sunita Chopra"/>
    <s v="Jacket"/>
    <x v="5"/>
    <x v="2"/>
    <s v="07-05-2024"/>
    <n v="3"/>
    <n v="2940"/>
    <n v="8820"/>
    <x v="1"/>
    <x v="0"/>
    <n v="2024"/>
    <s v="Normal"/>
  </r>
  <r>
    <s v="CUST0024"/>
    <s v="Sunita Nair"/>
    <s v="Pillow"/>
    <x v="6"/>
    <x v="1"/>
    <s v="14-05-2024"/>
    <n v="1"/>
    <n v="490"/>
    <n v="490"/>
    <x v="0"/>
    <x v="0"/>
    <n v="2024"/>
    <s v="Normal"/>
  </r>
  <r>
    <s v="CUST0058"/>
    <s v="Suresh Chopra"/>
    <s v="Saree"/>
    <x v="5"/>
    <x v="2"/>
    <s v="12-04-2024"/>
    <n v="4"/>
    <n v="2600"/>
    <n v="10400"/>
    <x v="1"/>
    <x v="6"/>
    <n v="2024"/>
    <s v="High"/>
  </r>
  <r>
    <s v="CUST0010"/>
    <s v="Nikhil Das"/>
    <s v="Water Bottle"/>
    <x v="6"/>
    <x v="1"/>
    <s v="14-02-2024"/>
    <n v="4"/>
    <n v="320"/>
    <n v="1280"/>
    <x v="0"/>
    <x v="10"/>
    <n v="2024"/>
    <s v="Normal"/>
  </r>
  <r>
    <s v="CUST0045"/>
    <s v="Shreya Shah"/>
    <s v="Dumbbells Set"/>
    <x v="4"/>
    <x v="0"/>
    <s v="02-06-2024"/>
    <n v="3"/>
    <n v="1510"/>
    <n v="4530"/>
    <x v="0"/>
    <x v="11"/>
    <n v="2024"/>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F9A0F-A7D4-4BBB-B557-F019065E323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9:B73" firstHeaderRow="1" firstDataRow="1" firstDataCol="1"/>
  <pivotFields count="13">
    <pivotField showAll="0"/>
    <pivotField showAll="0"/>
    <pivotField showAll="0"/>
    <pivotField showAll="0">
      <items count="8">
        <item x="3"/>
        <item x="1"/>
        <item x="5"/>
        <item x="2"/>
        <item x="0"/>
        <item x="6"/>
        <item x="4"/>
        <item t="default"/>
      </items>
    </pivotField>
    <pivotField showAll="0">
      <items count="5">
        <item x="1"/>
        <item x="2"/>
        <item x="0"/>
        <item x="3"/>
        <item t="default"/>
      </items>
    </pivotField>
    <pivotField showAll="0"/>
    <pivotField showAll="0"/>
    <pivotField numFmtId="4" showAll="0"/>
    <pivotField dataField="1" numFmtId="4" showAll="0"/>
    <pivotField axis="axisRow" showAll="0">
      <items count="4">
        <item x="0"/>
        <item x="1"/>
        <item x="2"/>
        <item t="default"/>
      </items>
    </pivotField>
    <pivotField showAll="0"/>
    <pivotField showAll="0"/>
    <pivotField showAll="0"/>
  </pivotFields>
  <rowFields count="1">
    <field x="9"/>
  </rowFields>
  <rowItems count="4">
    <i>
      <x/>
    </i>
    <i>
      <x v="1"/>
    </i>
    <i>
      <x v="2"/>
    </i>
    <i t="grand">
      <x/>
    </i>
  </rowItems>
  <colItems count="1">
    <i/>
  </colItems>
  <dataFields count="1">
    <dataField name="Sum of Total Amount (₹)" fld="8" baseField="0" baseItem="0" numFmtId="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5D392D-6D37-43C8-8819-48E29219E1D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B57" firstHeaderRow="1" firstDataRow="1" firstDataCol="1"/>
  <pivotFields count="13">
    <pivotField showAll="0"/>
    <pivotField showAll="0"/>
    <pivotField showAll="0"/>
    <pivotField showAll="0">
      <items count="8">
        <item x="3"/>
        <item x="1"/>
        <item x="5"/>
        <item x="2"/>
        <item x="0"/>
        <item x="6"/>
        <item x="4"/>
        <item t="default"/>
      </items>
    </pivotField>
    <pivotField showAll="0">
      <items count="5">
        <item x="1"/>
        <item x="2"/>
        <item x="0"/>
        <item x="3"/>
        <item t="default"/>
      </items>
    </pivotField>
    <pivotField showAll="0"/>
    <pivotField showAll="0"/>
    <pivotField numFmtId="4" showAll="0"/>
    <pivotField dataField="1" numFmtId="4" showAll="0"/>
    <pivotField showAll="0">
      <items count="4">
        <item x="0"/>
        <item x="1"/>
        <item x="2"/>
        <item t="default"/>
      </items>
    </pivotField>
    <pivotField axis="axisRow" showAll="0">
      <items count="13">
        <item x="2"/>
        <item x="10"/>
        <item x="9"/>
        <item x="6"/>
        <item x="0"/>
        <item x="11"/>
        <item x="7"/>
        <item x="4"/>
        <item x="3"/>
        <item x="5"/>
        <item x="1"/>
        <item x="8"/>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Total Amount (₹)" fld="8"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B78EF4-BBD2-420C-BCD1-C13BFD2F62A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30" firstHeaderRow="1" firstDataRow="1" firstDataCol="1"/>
  <pivotFields count="13">
    <pivotField showAll="0"/>
    <pivotField showAll="0"/>
    <pivotField showAll="0"/>
    <pivotField showAll="0">
      <items count="8">
        <item x="3"/>
        <item x="1"/>
        <item x="5"/>
        <item x="2"/>
        <item x="0"/>
        <item x="6"/>
        <item x="4"/>
        <item t="default"/>
      </items>
    </pivotField>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numFmtId="4" showAll="0"/>
    <pivotField dataField="1" numFmtId="4" showAll="0"/>
    <pivotField showAll="0">
      <items count="4">
        <item x="0"/>
        <item x="1"/>
        <item x="2"/>
        <item t="default"/>
      </items>
    </pivotField>
    <pivotField showAll="0"/>
    <pivotField showAll="0"/>
    <pivotField showAll="0"/>
  </pivotFields>
  <rowFields count="1">
    <field x="4"/>
  </rowFields>
  <rowItems count="5">
    <i>
      <x v="1"/>
    </i>
    <i>
      <x v="3"/>
    </i>
    <i>
      <x/>
    </i>
    <i>
      <x v="2"/>
    </i>
    <i t="grand">
      <x/>
    </i>
  </rowItems>
  <colItems count="1">
    <i/>
  </colItems>
  <dataFields count="1">
    <dataField name="Sum of Total Amount (₹)" fld="8" baseField="0" baseItem="0" numFmtId="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9C3E04-C0AC-420D-B888-9119E4FE212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3">
    <pivotField showAll="0"/>
    <pivotField showAll="0"/>
    <pivotField showAll="0"/>
    <pivotField axis="axisRow" showAll="0">
      <items count="8">
        <item x="3"/>
        <item x="1"/>
        <item x="5"/>
        <item x="2"/>
        <item x="0"/>
        <item x="6"/>
        <item x="4"/>
        <item t="default"/>
      </items>
    </pivotField>
    <pivotField showAll="0">
      <items count="5">
        <item x="1"/>
        <item x="2"/>
        <item x="0"/>
        <item x="3"/>
        <item t="default"/>
      </items>
    </pivotField>
    <pivotField showAll="0"/>
    <pivotField showAll="0"/>
    <pivotField numFmtId="4" showAll="0"/>
    <pivotField dataField="1" numFmtId="4" showAll="0"/>
    <pivotField showAll="0">
      <items count="4">
        <item x="0"/>
        <item x="1"/>
        <item x="2"/>
        <item t="default"/>
      </items>
    </pivotField>
    <pivotField showAll="0"/>
    <pivotField showAll="0"/>
    <pivotField showAll="0"/>
  </pivotFields>
  <rowFields count="1">
    <field x="3"/>
  </rowFields>
  <rowItems count="8">
    <i>
      <x/>
    </i>
    <i>
      <x v="1"/>
    </i>
    <i>
      <x v="2"/>
    </i>
    <i>
      <x v="3"/>
    </i>
    <i>
      <x v="4"/>
    </i>
    <i>
      <x v="5"/>
    </i>
    <i>
      <x v="6"/>
    </i>
    <i t="grand">
      <x/>
    </i>
  </rowItems>
  <colItems count="1">
    <i/>
  </colItems>
  <dataFields count="1">
    <dataField name="Sum of Total Amount (₹)" fld="8" baseField="0" baseItem="0" numFmtId="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CFB2FDD-9877-4DCE-B120-24C09CC5F933}" sourceName="Payment Method">
  <pivotTables>
    <pivotTable tabId="5" name="PivotTable1"/>
    <pivotTable tabId="5" name="PivotTable2"/>
    <pivotTable tabId="5" name="PivotTable3"/>
    <pivotTable tabId="5" name="PivotTable4"/>
  </pivotTables>
  <data>
    <tabular pivotCacheId="82647379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027D27-87AE-497F-AF6E-ACD1E3192F67}" sourceName="Region">
  <pivotTables>
    <pivotTable tabId="5" name="PivotTable1"/>
    <pivotTable tabId="5" name="PivotTable2"/>
    <pivotTable tabId="5" name="PivotTable3"/>
    <pivotTable tabId="5" name="PivotTable4"/>
  </pivotTables>
  <data>
    <tabular pivotCacheId="82647379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3F6233-A075-4E61-ADB7-0492B45B65DC}" sourceName="Category">
  <pivotTables>
    <pivotTable tabId="5" name="PivotTable1"/>
    <pivotTable tabId="5" name="PivotTable2"/>
    <pivotTable tabId="5" name="PivotTable3"/>
    <pivotTable tabId="5" name="PivotTable4"/>
  </pivotTables>
  <data>
    <tabular pivotCacheId="826473795">
      <items count="7">
        <i x="3" s="1"/>
        <i x="1" s="1"/>
        <i x="5" s="1"/>
        <i x="2"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6491BB60-BDE3-4E30-B2BD-1FFDBAC41C72}" cache="Slicer_Payment_Method" caption="Payment Method" rowHeight="234950"/>
  <slicer name="Region" xr10:uid="{A0E9A6D4-FC2C-4A9B-A684-111AA8708521}" cache="Slicer_Region" caption="Region" rowHeight="234950"/>
  <slicer name="Category" xr10:uid="{E2EDAA24-52A9-4744-9BF5-0569A2A32B74}"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09E67-7ECB-4A9B-9EE0-3B39F30FA203}">
  <dimension ref="A1:M221"/>
  <sheetViews>
    <sheetView workbookViewId="0">
      <selection activeCell="I21" sqref="I21"/>
    </sheetView>
  </sheetViews>
  <sheetFormatPr defaultRowHeight="14.4" x14ac:dyDescent="0.3"/>
  <cols>
    <col min="1" max="1" width="12.5546875" bestFit="1" customWidth="1"/>
    <col min="2" max="2" width="16.88671875" bestFit="1" customWidth="1"/>
    <col min="3" max="3" width="19.21875" bestFit="1" customWidth="1"/>
    <col min="4" max="4" width="14.21875" bestFit="1" customWidth="1"/>
    <col min="5" max="5" width="7.88671875" bestFit="1" customWidth="1"/>
    <col min="6" max="6" width="10.33203125" bestFit="1" customWidth="1"/>
    <col min="7" max="7" width="9.21875" bestFit="1" customWidth="1"/>
    <col min="8" max="8" width="9.109375" bestFit="1" customWidth="1"/>
    <col min="9" max="9" width="17.21875" bestFit="1" customWidth="1"/>
    <col min="10" max="10" width="17.6640625" bestFit="1" customWidth="1"/>
    <col min="13" max="13" width="11.5546875" bestFit="1" customWidth="1"/>
  </cols>
  <sheetData>
    <row r="1" spans="1:13" x14ac:dyDescent="0.3">
      <c r="A1" s="36" t="s">
        <v>0</v>
      </c>
      <c r="B1" s="1" t="s">
        <v>1</v>
      </c>
      <c r="C1" s="1" t="s">
        <v>2</v>
      </c>
      <c r="D1" s="1" t="s">
        <v>3</v>
      </c>
      <c r="E1" s="1" t="s">
        <v>4</v>
      </c>
      <c r="F1" s="1" t="s">
        <v>5</v>
      </c>
      <c r="G1" s="1" t="s">
        <v>6</v>
      </c>
      <c r="H1" s="1" t="s">
        <v>7</v>
      </c>
      <c r="I1" s="1" t="s">
        <v>8</v>
      </c>
      <c r="J1" s="1" t="s">
        <v>9</v>
      </c>
      <c r="K1" s="8" t="s">
        <v>392</v>
      </c>
      <c r="L1" s="8" t="s">
        <v>393</v>
      </c>
      <c r="M1" s="8" t="s">
        <v>394</v>
      </c>
    </row>
    <row r="2" spans="1:13" x14ac:dyDescent="0.3">
      <c r="A2" s="2" t="s">
        <v>10</v>
      </c>
      <c r="B2" s="3" t="s">
        <v>11</v>
      </c>
      <c r="C2" s="2" t="s">
        <v>12</v>
      </c>
      <c r="D2" s="2" t="s">
        <v>13</v>
      </c>
      <c r="E2" s="2" t="s">
        <v>14</v>
      </c>
      <c r="F2" s="2" t="s">
        <v>15</v>
      </c>
      <c r="G2" s="3">
        <v>1</v>
      </c>
      <c r="H2" s="4">
        <v>330</v>
      </c>
      <c r="I2" s="4">
        <v>330</v>
      </c>
      <c r="J2" s="2" t="s">
        <v>16</v>
      </c>
      <c r="K2" t="str">
        <f>TEXT(F2,"mmm")</f>
        <v>May</v>
      </c>
      <c r="L2">
        <f>YEAR(F2)</f>
        <v>2024</v>
      </c>
      <c r="M2" t="str">
        <f>IF(I2&gt;10000,"High","Normal")</f>
        <v>Normal</v>
      </c>
    </row>
    <row r="3" spans="1:13" x14ac:dyDescent="0.3">
      <c r="A3" s="5" t="s">
        <v>17</v>
      </c>
      <c r="B3" s="6" t="s">
        <v>18</v>
      </c>
      <c r="C3" s="5" t="s">
        <v>19</v>
      </c>
      <c r="D3" s="5" t="s">
        <v>20</v>
      </c>
      <c r="E3" s="5" t="s">
        <v>14</v>
      </c>
      <c r="F3" s="5" t="s">
        <v>21</v>
      </c>
      <c r="G3" s="6">
        <v>5</v>
      </c>
      <c r="H3" s="7">
        <v>850</v>
      </c>
      <c r="I3" s="7">
        <v>4250</v>
      </c>
      <c r="J3" s="5" t="s">
        <v>22</v>
      </c>
      <c r="K3" t="str">
        <f t="shared" ref="K3:K66" si="0">TEXT(F3,"mmm")</f>
        <v>Nov</v>
      </c>
      <c r="L3">
        <f t="shared" ref="L3:L66" si="1">YEAR(F3)</f>
        <v>2024</v>
      </c>
      <c r="M3" t="str">
        <f t="shared" ref="M3:M66" si="2">IF(I3&gt;10000,"High","Normal")</f>
        <v>Normal</v>
      </c>
    </row>
    <row r="4" spans="1:13" x14ac:dyDescent="0.3">
      <c r="A4" s="2" t="s">
        <v>23</v>
      </c>
      <c r="B4" s="3" t="s">
        <v>24</v>
      </c>
      <c r="C4" s="2" t="s">
        <v>25</v>
      </c>
      <c r="D4" s="2" t="s">
        <v>20</v>
      </c>
      <c r="E4" s="2" t="s">
        <v>26</v>
      </c>
      <c r="F4" s="2" t="s">
        <v>27</v>
      </c>
      <c r="G4" s="3">
        <v>5</v>
      </c>
      <c r="H4" s="4">
        <v>200</v>
      </c>
      <c r="I4" s="4">
        <v>1000</v>
      </c>
      <c r="J4" s="2" t="s">
        <v>28</v>
      </c>
      <c r="K4" t="str">
        <f t="shared" si="0"/>
        <v>Jan</v>
      </c>
      <c r="L4">
        <f t="shared" si="1"/>
        <v>2024</v>
      </c>
      <c r="M4" t="str">
        <f t="shared" si="2"/>
        <v>Normal</v>
      </c>
    </row>
    <row r="5" spans="1:13" x14ac:dyDescent="0.3">
      <c r="A5" s="5" t="s">
        <v>29</v>
      </c>
      <c r="B5" s="6" t="s">
        <v>30</v>
      </c>
      <c r="C5" s="5" t="s">
        <v>31</v>
      </c>
      <c r="D5" s="5" t="s">
        <v>32</v>
      </c>
      <c r="E5" s="5" t="s">
        <v>33</v>
      </c>
      <c r="F5" s="5" t="s">
        <v>34</v>
      </c>
      <c r="G5" s="6">
        <v>3</v>
      </c>
      <c r="H5" s="7">
        <v>13980</v>
      </c>
      <c r="I5" s="7">
        <v>41940</v>
      </c>
      <c r="J5" s="5" t="s">
        <v>22</v>
      </c>
      <c r="K5" t="str">
        <f t="shared" si="0"/>
        <v>May</v>
      </c>
      <c r="L5">
        <f t="shared" si="1"/>
        <v>2024</v>
      </c>
      <c r="M5" t="str">
        <f t="shared" si="2"/>
        <v>High</v>
      </c>
    </row>
    <row r="6" spans="1:13" x14ac:dyDescent="0.3">
      <c r="A6" s="2" t="s">
        <v>35</v>
      </c>
      <c r="B6" s="3" t="s">
        <v>36</v>
      </c>
      <c r="C6" s="2" t="s">
        <v>37</v>
      </c>
      <c r="D6" s="2" t="s">
        <v>32</v>
      </c>
      <c r="E6" s="2" t="s">
        <v>14</v>
      </c>
      <c r="F6" s="2" t="s">
        <v>38</v>
      </c>
      <c r="G6" s="3">
        <v>1</v>
      </c>
      <c r="H6" s="4">
        <v>57550</v>
      </c>
      <c r="I6" s="4">
        <v>57550</v>
      </c>
      <c r="J6" s="2" t="s">
        <v>22</v>
      </c>
      <c r="K6" t="str">
        <f t="shared" si="0"/>
        <v>Sep</v>
      </c>
      <c r="L6">
        <f t="shared" si="1"/>
        <v>2024</v>
      </c>
      <c r="M6" t="str">
        <f t="shared" si="2"/>
        <v>High</v>
      </c>
    </row>
    <row r="7" spans="1:13" x14ac:dyDescent="0.3">
      <c r="A7" s="5" t="s">
        <v>39</v>
      </c>
      <c r="B7" s="6" t="s">
        <v>40</v>
      </c>
      <c r="C7" s="5" t="s">
        <v>41</v>
      </c>
      <c r="D7" s="5" t="s">
        <v>42</v>
      </c>
      <c r="E7" s="5" t="s">
        <v>14</v>
      </c>
      <c r="F7" s="5" t="s">
        <v>43</v>
      </c>
      <c r="G7" s="6">
        <v>5</v>
      </c>
      <c r="H7" s="7">
        <v>330</v>
      </c>
      <c r="I7" s="7">
        <v>1650</v>
      </c>
      <c r="J7" s="5" t="s">
        <v>16</v>
      </c>
      <c r="K7" t="str">
        <f t="shared" si="0"/>
        <v>Aug</v>
      </c>
      <c r="L7">
        <f t="shared" si="1"/>
        <v>2024</v>
      </c>
      <c r="M7" t="str">
        <f t="shared" si="2"/>
        <v>Normal</v>
      </c>
    </row>
    <row r="8" spans="1:13" x14ac:dyDescent="0.3">
      <c r="A8" s="2" t="s">
        <v>44</v>
      </c>
      <c r="B8" s="3" t="s">
        <v>45</v>
      </c>
      <c r="C8" s="2" t="s">
        <v>46</v>
      </c>
      <c r="D8" s="2" t="s">
        <v>47</v>
      </c>
      <c r="E8" s="2" t="s">
        <v>48</v>
      </c>
      <c r="F8" s="2" t="s">
        <v>49</v>
      </c>
      <c r="G8" s="3">
        <v>3</v>
      </c>
      <c r="H8" s="4">
        <v>880</v>
      </c>
      <c r="I8" s="4">
        <v>2640</v>
      </c>
      <c r="J8" s="2" t="s">
        <v>22</v>
      </c>
      <c r="K8" t="str">
        <f t="shared" si="0"/>
        <v>Aug</v>
      </c>
      <c r="L8">
        <f t="shared" si="1"/>
        <v>2024</v>
      </c>
      <c r="M8" t="str">
        <f t="shared" si="2"/>
        <v>Normal</v>
      </c>
    </row>
    <row r="9" spans="1:13" x14ac:dyDescent="0.3">
      <c r="A9" s="5" t="s">
        <v>50</v>
      </c>
      <c r="B9" s="6" t="s">
        <v>51</v>
      </c>
      <c r="C9" s="5" t="s">
        <v>52</v>
      </c>
      <c r="D9" s="5" t="s">
        <v>53</v>
      </c>
      <c r="E9" s="5" t="s">
        <v>14</v>
      </c>
      <c r="F9" s="5" t="s">
        <v>54</v>
      </c>
      <c r="G9" s="6">
        <v>5</v>
      </c>
      <c r="H9" s="7">
        <v>1160</v>
      </c>
      <c r="I9" s="7">
        <v>5800</v>
      </c>
      <c r="J9" s="5" t="s">
        <v>16</v>
      </c>
      <c r="K9" t="str">
        <f t="shared" si="0"/>
        <v>Oct</v>
      </c>
      <c r="L9">
        <f t="shared" si="1"/>
        <v>2024</v>
      </c>
      <c r="M9" t="str">
        <f t="shared" si="2"/>
        <v>Normal</v>
      </c>
    </row>
    <row r="10" spans="1:13" x14ac:dyDescent="0.3">
      <c r="A10" s="2" t="s">
        <v>55</v>
      </c>
      <c r="B10" s="3" t="s">
        <v>56</v>
      </c>
      <c r="C10" s="2" t="s">
        <v>37</v>
      </c>
      <c r="D10" s="2" t="s">
        <v>32</v>
      </c>
      <c r="E10" s="2" t="s">
        <v>33</v>
      </c>
      <c r="F10" s="2" t="s">
        <v>57</v>
      </c>
      <c r="G10" s="3">
        <v>1</v>
      </c>
      <c r="H10" s="4">
        <v>57290</v>
      </c>
      <c r="I10" s="4">
        <v>57290</v>
      </c>
      <c r="J10" s="2" t="s">
        <v>22</v>
      </c>
      <c r="K10" t="str">
        <f t="shared" si="0"/>
        <v>Apr</v>
      </c>
      <c r="L10">
        <f t="shared" si="1"/>
        <v>2024</v>
      </c>
      <c r="M10" t="str">
        <f t="shared" si="2"/>
        <v>High</v>
      </c>
    </row>
    <row r="11" spans="1:13" x14ac:dyDescent="0.3">
      <c r="A11" s="5" t="s">
        <v>58</v>
      </c>
      <c r="B11" s="6" t="s">
        <v>59</v>
      </c>
      <c r="C11" s="5" t="s">
        <v>60</v>
      </c>
      <c r="D11" s="5" t="s">
        <v>32</v>
      </c>
      <c r="E11" s="5" t="s">
        <v>14</v>
      </c>
      <c r="F11" s="5" t="s">
        <v>61</v>
      </c>
      <c r="G11" s="6">
        <v>4</v>
      </c>
      <c r="H11" s="7">
        <v>31540</v>
      </c>
      <c r="I11" s="7">
        <v>126160</v>
      </c>
      <c r="J11" s="5" t="s">
        <v>16</v>
      </c>
      <c r="K11" t="str">
        <f t="shared" si="0"/>
        <v>Apr</v>
      </c>
      <c r="L11">
        <f t="shared" si="1"/>
        <v>2024</v>
      </c>
      <c r="M11" t="str">
        <f t="shared" si="2"/>
        <v>High</v>
      </c>
    </row>
    <row r="12" spans="1:13" x14ac:dyDescent="0.3">
      <c r="A12" s="2" t="s">
        <v>62</v>
      </c>
      <c r="B12" s="3" t="s">
        <v>63</v>
      </c>
      <c r="C12" s="2" t="s">
        <v>64</v>
      </c>
      <c r="D12" s="2" t="s">
        <v>42</v>
      </c>
      <c r="E12" s="2" t="s">
        <v>14</v>
      </c>
      <c r="F12" s="2" t="s">
        <v>65</v>
      </c>
      <c r="G12" s="3">
        <v>4</v>
      </c>
      <c r="H12" s="4">
        <v>190</v>
      </c>
      <c r="I12" s="4">
        <v>760</v>
      </c>
      <c r="J12" s="2" t="s">
        <v>22</v>
      </c>
      <c r="K12" t="str">
        <f t="shared" si="0"/>
        <v>Jul</v>
      </c>
      <c r="L12">
        <f t="shared" si="1"/>
        <v>2024</v>
      </c>
      <c r="M12" t="str">
        <f t="shared" si="2"/>
        <v>Normal</v>
      </c>
    </row>
    <row r="13" spans="1:13" x14ac:dyDescent="0.3">
      <c r="A13" s="5" t="s">
        <v>66</v>
      </c>
      <c r="B13" s="6" t="s">
        <v>67</v>
      </c>
      <c r="C13" s="5" t="s">
        <v>68</v>
      </c>
      <c r="D13" s="5" t="s">
        <v>47</v>
      </c>
      <c r="E13" s="5" t="s">
        <v>33</v>
      </c>
      <c r="F13" s="5" t="s">
        <v>69</v>
      </c>
      <c r="G13" s="6">
        <v>4</v>
      </c>
      <c r="H13" s="7">
        <v>340</v>
      </c>
      <c r="I13" s="7">
        <v>1360</v>
      </c>
      <c r="J13" s="5" t="s">
        <v>16</v>
      </c>
      <c r="K13" t="str">
        <f t="shared" si="0"/>
        <v>Aug</v>
      </c>
      <c r="L13">
        <f t="shared" si="1"/>
        <v>2024</v>
      </c>
      <c r="M13" t="str">
        <f t="shared" si="2"/>
        <v>Normal</v>
      </c>
    </row>
    <row r="14" spans="1:13" x14ac:dyDescent="0.3">
      <c r="A14" s="2" t="s">
        <v>66</v>
      </c>
      <c r="B14" s="3" t="s">
        <v>67</v>
      </c>
      <c r="C14" s="2" t="s">
        <v>70</v>
      </c>
      <c r="D14" s="2" t="s">
        <v>32</v>
      </c>
      <c r="E14" s="2" t="s">
        <v>14</v>
      </c>
      <c r="F14" s="2" t="s">
        <v>71</v>
      </c>
      <c r="G14" s="3">
        <v>1</v>
      </c>
      <c r="H14" s="4">
        <v>2610</v>
      </c>
      <c r="I14" s="4">
        <v>2610</v>
      </c>
      <c r="J14" s="2" t="s">
        <v>22</v>
      </c>
      <c r="K14" t="str">
        <f t="shared" si="0"/>
        <v>May</v>
      </c>
      <c r="L14">
        <f t="shared" si="1"/>
        <v>2024</v>
      </c>
      <c r="M14" t="str">
        <f t="shared" si="2"/>
        <v>Normal</v>
      </c>
    </row>
    <row r="15" spans="1:13" x14ac:dyDescent="0.3">
      <c r="A15" s="5" t="s">
        <v>72</v>
      </c>
      <c r="B15" s="6" t="s">
        <v>73</v>
      </c>
      <c r="C15" s="5" t="s">
        <v>68</v>
      </c>
      <c r="D15" s="5" t="s">
        <v>74</v>
      </c>
      <c r="E15" s="5" t="s">
        <v>14</v>
      </c>
      <c r="F15" s="5" t="s">
        <v>75</v>
      </c>
      <c r="G15" s="6">
        <v>3</v>
      </c>
      <c r="H15" s="7">
        <v>290</v>
      </c>
      <c r="I15" s="7">
        <v>870</v>
      </c>
      <c r="J15" s="5" t="s">
        <v>22</v>
      </c>
      <c r="K15" t="str">
        <f t="shared" si="0"/>
        <v>Aug</v>
      </c>
      <c r="L15">
        <f t="shared" si="1"/>
        <v>2024</v>
      </c>
      <c r="M15" t="str">
        <f t="shared" si="2"/>
        <v>Normal</v>
      </c>
    </row>
    <row r="16" spans="1:13" x14ac:dyDescent="0.3">
      <c r="A16" s="2" t="s">
        <v>76</v>
      </c>
      <c r="B16" s="3" t="s">
        <v>77</v>
      </c>
      <c r="C16" s="2" t="s">
        <v>78</v>
      </c>
      <c r="D16" s="2" t="s">
        <v>20</v>
      </c>
      <c r="E16" s="2" t="s">
        <v>33</v>
      </c>
      <c r="F16" s="2" t="s">
        <v>79</v>
      </c>
      <c r="G16" s="3">
        <v>5</v>
      </c>
      <c r="H16" s="4">
        <v>270</v>
      </c>
      <c r="I16" s="4">
        <v>1350</v>
      </c>
      <c r="J16" s="2" t="s">
        <v>22</v>
      </c>
      <c r="K16" t="str">
        <f t="shared" si="0"/>
        <v>Jan</v>
      </c>
      <c r="L16">
        <f t="shared" si="1"/>
        <v>2024</v>
      </c>
      <c r="M16" t="str">
        <f t="shared" si="2"/>
        <v>Normal</v>
      </c>
    </row>
    <row r="17" spans="1:13" x14ac:dyDescent="0.3">
      <c r="A17" s="5" t="s">
        <v>80</v>
      </c>
      <c r="B17" s="6" t="s">
        <v>81</v>
      </c>
      <c r="C17" s="5" t="s">
        <v>82</v>
      </c>
      <c r="D17" s="5" t="s">
        <v>74</v>
      </c>
      <c r="E17" s="5" t="s">
        <v>14</v>
      </c>
      <c r="F17" s="5" t="s">
        <v>83</v>
      </c>
      <c r="G17" s="6">
        <v>4</v>
      </c>
      <c r="H17" s="7">
        <v>1290</v>
      </c>
      <c r="I17" s="7">
        <v>5160</v>
      </c>
      <c r="J17" s="5" t="s">
        <v>28</v>
      </c>
      <c r="K17" t="str">
        <f t="shared" si="0"/>
        <v>Jan</v>
      </c>
      <c r="L17">
        <f t="shared" si="1"/>
        <v>2024</v>
      </c>
      <c r="M17" t="str">
        <f t="shared" si="2"/>
        <v>Normal</v>
      </c>
    </row>
    <row r="18" spans="1:13" x14ac:dyDescent="0.3">
      <c r="A18" s="2" t="s">
        <v>84</v>
      </c>
      <c r="B18" s="3" t="s">
        <v>85</v>
      </c>
      <c r="C18" s="2" t="s">
        <v>86</v>
      </c>
      <c r="D18" s="2" t="s">
        <v>74</v>
      </c>
      <c r="E18" s="2" t="s">
        <v>48</v>
      </c>
      <c r="F18" s="2" t="s">
        <v>87</v>
      </c>
      <c r="G18" s="3">
        <v>4</v>
      </c>
      <c r="H18" s="4">
        <v>650</v>
      </c>
      <c r="I18" s="4">
        <v>2600</v>
      </c>
      <c r="J18" s="2" t="s">
        <v>16</v>
      </c>
      <c r="K18" t="str">
        <f t="shared" si="0"/>
        <v>May</v>
      </c>
      <c r="L18">
        <f t="shared" si="1"/>
        <v>2024</v>
      </c>
      <c r="M18" t="str">
        <f t="shared" si="2"/>
        <v>Normal</v>
      </c>
    </row>
    <row r="19" spans="1:13" x14ac:dyDescent="0.3">
      <c r="A19" s="5" t="s">
        <v>88</v>
      </c>
      <c r="B19" s="6" t="s">
        <v>89</v>
      </c>
      <c r="C19" s="5" t="s">
        <v>90</v>
      </c>
      <c r="D19" s="5" t="s">
        <v>47</v>
      </c>
      <c r="E19" s="5" t="s">
        <v>33</v>
      </c>
      <c r="F19" s="5" t="s">
        <v>91</v>
      </c>
      <c r="G19" s="6">
        <v>3</v>
      </c>
      <c r="H19" s="7">
        <v>560</v>
      </c>
      <c r="I19" s="7">
        <v>1680</v>
      </c>
      <c r="J19" s="5" t="s">
        <v>16</v>
      </c>
      <c r="K19" t="str">
        <f t="shared" si="0"/>
        <v>Apr</v>
      </c>
      <c r="L19">
        <f t="shared" si="1"/>
        <v>2024</v>
      </c>
      <c r="M19" t="str">
        <f t="shared" si="2"/>
        <v>Normal</v>
      </c>
    </row>
    <row r="20" spans="1:13" x14ac:dyDescent="0.3">
      <c r="A20" s="2" t="s">
        <v>92</v>
      </c>
      <c r="B20" s="3" t="s">
        <v>93</v>
      </c>
      <c r="C20" s="2" t="s">
        <v>31</v>
      </c>
      <c r="D20" s="2" t="s">
        <v>32</v>
      </c>
      <c r="E20" s="2" t="s">
        <v>14</v>
      </c>
      <c r="F20" s="2" t="s">
        <v>94</v>
      </c>
      <c r="G20" s="3">
        <v>5</v>
      </c>
      <c r="H20" s="4">
        <v>11850</v>
      </c>
      <c r="I20" s="4">
        <v>59250</v>
      </c>
      <c r="J20" s="2" t="s">
        <v>22</v>
      </c>
      <c r="K20" t="str">
        <f t="shared" si="0"/>
        <v>Sep</v>
      </c>
      <c r="L20">
        <f t="shared" si="1"/>
        <v>2024</v>
      </c>
      <c r="M20" t="str">
        <f t="shared" si="2"/>
        <v>High</v>
      </c>
    </row>
    <row r="21" spans="1:13" x14ac:dyDescent="0.3">
      <c r="A21" s="5" t="s">
        <v>95</v>
      </c>
      <c r="B21" s="6" t="s">
        <v>96</v>
      </c>
      <c r="C21" s="5" t="s">
        <v>97</v>
      </c>
      <c r="D21" s="5" t="s">
        <v>32</v>
      </c>
      <c r="E21" s="5" t="s">
        <v>14</v>
      </c>
      <c r="F21" s="5" t="s">
        <v>98</v>
      </c>
      <c r="G21" s="6">
        <v>1</v>
      </c>
      <c r="H21" s="7">
        <v>3200</v>
      </c>
      <c r="I21" s="7">
        <v>3200</v>
      </c>
      <c r="J21" s="5" t="s">
        <v>28</v>
      </c>
      <c r="K21" t="str">
        <f t="shared" si="0"/>
        <v>Dec</v>
      </c>
      <c r="L21">
        <f t="shared" si="1"/>
        <v>2024</v>
      </c>
      <c r="M21" t="str">
        <f t="shared" si="2"/>
        <v>Normal</v>
      </c>
    </row>
    <row r="22" spans="1:13" x14ac:dyDescent="0.3">
      <c r="A22" s="2" t="s">
        <v>99</v>
      </c>
      <c r="B22" s="3" t="s">
        <v>100</v>
      </c>
      <c r="C22" s="2" t="s">
        <v>101</v>
      </c>
      <c r="D22" s="2" t="s">
        <v>42</v>
      </c>
      <c r="E22" s="2" t="s">
        <v>33</v>
      </c>
      <c r="F22" s="2" t="s">
        <v>102</v>
      </c>
      <c r="G22" s="3">
        <v>1</v>
      </c>
      <c r="H22" s="4">
        <v>300</v>
      </c>
      <c r="I22" s="4">
        <v>300</v>
      </c>
      <c r="J22" s="2" t="s">
        <v>28</v>
      </c>
      <c r="K22" t="str">
        <f t="shared" si="0"/>
        <v>Nov</v>
      </c>
      <c r="L22">
        <f t="shared" si="1"/>
        <v>2024</v>
      </c>
      <c r="M22" t="str">
        <f t="shared" si="2"/>
        <v>Normal</v>
      </c>
    </row>
    <row r="23" spans="1:13" x14ac:dyDescent="0.3">
      <c r="A23" s="5" t="s">
        <v>103</v>
      </c>
      <c r="B23" s="6" t="s">
        <v>104</v>
      </c>
      <c r="C23" s="5" t="s">
        <v>105</v>
      </c>
      <c r="D23" s="5" t="s">
        <v>42</v>
      </c>
      <c r="E23" s="5" t="s">
        <v>26</v>
      </c>
      <c r="F23" s="5" t="s">
        <v>106</v>
      </c>
      <c r="G23" s="6">
        <v>2</v>
      </c>
      <c r="H23" s="7">
        <v>1410</v>
      </c>
      <c r="I23" s="7">
        <v>2820</v>
      </c>
      <c r="J23" s="5" t="s">
        <v>22</v>
      </c>
      <c r="K23" t="str">
        <f t="shared" si="0"/>
        <v>Dec</v>
      </c>
      <c r="L23">
        <f t="shared" si="1"/>
        <v>2024</v>
      </c>
      <c r="M23" t="str">
        <f t="shared" si="2"/>
        <v>Normal</v>
      </c>
    </row>
    <row r="24" spans="1:13" x14ac:dyDescent="0.3">
      <c r="A24" s="2" t="s">
        <v>107</v>
      </c>
      <c r="B24" s="3" t="s">
        <v>108</v>
      </c>
      <c r="C24" s="2" t="s">
        <v>68</v>
      </c>
      <c r="D24" s="2" t="s">
        <v>74</v>
      </c>
      <c r="E24" s="2" t="s">
        <v>26</v>
      </c>
      <c r="F24" s="2" t="s">
        <v>109</v>
      </c>
      <c r="G24" s="3">
        <v>3</v>
      </c>
      <c r="H24" s="4">
        <v>310</v>
      </c>
      <c r="I24" s="4">
        <v>930</v>
      </c>
      <c r="J24" s="2" t="s">
        <v>22</v>
      </c>
      <c r="K24" t="str">
        <f t="shared" si="0"/>
        <v>Aug</v>
      </c>
      <c r="L24">
        <f t="shared" si="1"/>
        <v>2024</v>
      </c>
      <c r="M24" t="str">
        <f t="shared" si="2"/>
        <v>Normal</v>
      </c>
    </row>
    <row r="25" spans="1:13" x14ac:dyDescent="0.3">
      <c r="A25" s="5" t="s">
        <v>110</v>
      </c>
      <c r="B25" s="6" t="s">
        <v>111</v>
      </c>
      <c r="C25" s="5" t="s">
        <v>112</v>
      </c>
      <c r="D25" s="5" t="s">
        <v>74</v>
      </c>
      <c r="E25" s="5" t="s">
        <v>26</v>
      </c>
      <c r="F25" s="5" t="s">
        <v>113</v>
      </c>
      <c r="G25" s="6">
        <v>2</v>
      </c>
      <c r="H25" s="7">
        <v>730</v>
      </c>
      <c r="I25" s="7">
        <v>1460</v>
      </c>
      <c r="J25" s="5" t="s">
        <v>22</v>
      </c>
      <c r="K25" t="str">
        <f t="shared" si="0"/>
        <v>Sep</v>
      </c>
      <c r="L25">
        <f t="shared" si="1"/>
        <v>2024</v>
      </c>
      <c r="M25" t="str">
        <f t="shared" si="2"/>
        <v>Normal</v>
      </c>
    </row>
    <row r="26" spans="1:13" x14ac:dyDescent="0.3">
      <c r="A26" s="2" t="s">
        <v>114</v>
      </c>
      <c r="B26" s="3" t="s">
        <v>115</v>
      </c>
      <c r="C26" s="2" t="s">
        <v>60</v>
      </c>
      <c r="D26" s="2" t="s">
        <v>32</v>
      </c>
      <c r="E26" s="2" t="s">
        <v>26</v>
      </c>
      <c r="F26" s="2" t="s">
        <v>49</v>
      </c>
      <c r="G26" s="3">
        <v>2</v>
      </c>
      <c r="H26" s="4">
        <v>32140</v>
      </c>
      <c r="I26" s="4">
        <v>64280</v>
      </c>
      <c r="J26" s="2" t="s">
        <v>16</v>
      </c>
      <c r="K26" t="str">
        <f t="shared" si="0"/>
        <v>Aug</v>
      </c>
      <c r="L26">
        <f t="shared" si="1"/>
        <v>2024</v>
      </c>
      <c r="M26" t="str">
        <f t="shared" si="2"/>
        <v>High</v>
      </c>
    </row>
    <row r="27" spans="1:13" x14ac:dyDescent="0.3">
      <c r="A27" s="5" t="s">
        <v>116</v>
      </c>
      <c r="B27" s="6" t="s">
        <v>117</v>
      </c>
      <c r="C27" s="5" t="s">
        <v>118</v>
      </c>
      <c r="D27" s="5" t="s">
        <v>32</v>
      </c>
      <c r="E27" s="5" t="s">
        <v>26</v>
      </c>
      <c r="F27" s="5" t="s">
        <v>119</v>
      </c>
      <c r="G27" s="6">
        <v>1</v>
      </c>
      <c r="H27" s="7">
        <v>27160</v>
      </c>
      <c r="I27" s="7">
        <v>27160</v>
      </c>
      <c r="J27" s="5" t="s">
        <v>22</v>
      </c>
      <c r="K27" t="str">
        <f t="shared" si="0"/>
        <v>Mar</v>
      </c>
      <c r="L27">
        <f t="shared" si="1"/>
        <v>2024</v>
      </c>
      <c r="M27" t="str">
        <f t="shared" si="2"/>
        <v>High</v>
      </c>
    </row>
    <row r="28" spans="1:13" x14ac:dyDescent="0.3">
      <c r="A28" s="2" t="s">
        <v>17</v>
      </c>
      <c r="B28" s="3" t="s">
        <v>18</v>
      </c>
      <c r="C28" s="2" t="s">
        <v>120</v>
      </c>
      <c r="D28" s="2" t="s">
        <v>47</v>
      </c>
      <c r="E28" s="2" t="s">
        <v>26</v>
      </c>
      <c r="F28" s="2" t="s">
        <v>121</v>
      </c>
      <c r="G28" s="3">
        <v>5</v>
      </c>
      <c r="H28" s="4">
        <v>2860</v>
      </c>
      <c r="I28" s="4">
        <v>14300</v>
      </c>
      <c r="J28" s="2" t="s">
        <v>22</v>
      </c>
      <c r="K28" t="str">
        <f t="shared" si="0"/>
        <v>Apr</v>
      </c>
      <c r="L28">
        <f t="shared" si="1"/>
        <v>2024</v>
      </c>
      <c r="M28" t="str">
        <f t="shared" si="2"/>
        <v>High</v>
      </c>
    </row>
    <row r="29" spans="1:13" x14ac:dyDescent="0.3">
      <c r="A29" s="5" t="s">
        <v>107</v>
      </c>
      <c r="B29" s="6" t="s">
        <v>108</v>
      </c>
      <c r="C29" s="5" t="s">
        <v>64</v>
      </c>
      <c r="D29" s="5" t="s">
        <v>42</v>
      </c>
      <c r="E29" s="5" t="s">
        <v>48</v>
      </c>
      <c r="F29" s="5" t="s">
        <v>122</v>
      </c>
      <c r="G29" s="6">
        <v>1</v>
      </c>
      <c r="H29" s="7">
        <v>190</v>
      </c>
      <c r="I29" s="7">
        <v>190</v>
      </c>
      <c r="J29" s="5" t="s">
        <v>28</v>
      </c>
      <c r="K29" t="str">
        <f t="shared" si="0"/>
        <v>Feb</v>
      </c>
      <c r="L29">
        <f t="shared" si="1"/>
        <v>2024</v>
      </c>
      <c r="M29" t="str">
        <f t="shared" si="2"/>
        <v>Normal</v>
      </c>
    </row>
    <row r="30" spans="1:13" x14ac:dyDescent="0.3">
      <c r="A30" s="2" t="s">
        <v>123</v>
      </c>
      <c r="B30" s="3" t="s">
        <v>124</v>
      </c>
      <c r="C30" s="2" t="s">
        <v>31</v>
      </c>
      <c r="D30" s="2" t="s">
        <v>32</v>
      </c>
      <c r="E30" s="2" t="s">
        <v>48</v>
      </c>
      <c r="F30" s="2" t="s">
        <v>125</v>
      </c>
      <c r="G30" s="3">
        <v>3</v>
      </c>
      <c r="H30" s="4">
        <v>13700</v>
      </c>
      <c r="I30" s="4">
        <v>41100</v>
      </c>
      <c r="J30" s="2" t="s">
        <v>16</v>
      </c>
      <c r="K30" t="str">
        <f t="shared" si="0"/>
        <v>Mar</v>
      </c>
      <c r="L30">
        <f t="shared" si="1"/>
        <v>2024</v>
      </c>
      <c r="M30" t="str">
        <f t="shared" si="2"/>
        <v>High</v>
      </c>
    </row>
    <row r="31" spans="1:13" x14ac:dyDescent="0.3">
      <c r="A31" s="5" t="s">
        <v>126</v>
      </c>
      <c r="B31" s="6" t="s">
        <v>127</v>
      </c>
      <c r="C31" s="5" t="s">
        <v>128</v>
      </c>
      <c r="D31" s="5" t="s">
        <v>42</v>
      </c>
      <c r="E31" s="5" t="s">
        <v>33</v>
      </c>
      <c r="F31" s="5" t="s">
        <v>129</v>
      </c>
      <c r="G31" s="6">
        <v>2</v>
      </c>
      <c r="H31" s="7">
        <v>230</v>
      </c>
      <c r="I31" s="7">
        <v>460</v>
      </c>
      <c r="J31" s="5" t="s">
        <v>28</v>
      </c>
      <c r="K31" t="str">
        <f t="shared" si="0"/>
        <v>Oct</v>
      </c>
      <c r="L31">
        <f t="shared" si="1"/>
        <v>2024</v>
      </c>
      <c r="M31" t="str">
        <f t="shared" si="2"/>
        <v>Normal</v>
      </c>
    </row>
    <row r="32" spans="1:13" x14ac:dyDescent="0.3">
      <c r="A32" s="2" t="s">
        <v>103</v>
      </c>
      <c r="B32" s="3" t="s">
        <v>104</v>
      </c>
      <c r="C32" s="2" t="s">
        <v>41</v>
      </c>
      <c r="D32" s="2" t="s">
        <v>42</v>
      </c>
      <c r="E32" s="2" t="s">
        <v>26</v>
      </c>
      <c r="F32" s="2" t="s">
        <v>130</v>
      </c>
      <c r="G32" s="3">
        <v>1</v>
      </c>
      <c r="H32" s="4">
        <v>350</v>
      </c>
      <c r="I32" s="4">
        <v>350</v>
      </c>
      <c r="J32" s="2" t="s">
        <v>22</v>
      </c>
      <c r="K32" t="str">
        <f t="shared" si="0"/>
        <v>Jun</v>
      </c>
      <c r="L32">
        <f t="shared" si="1"/>
        <v>2024</v>
      </c>
      <c r="M32" t="str">
        <f t="shared" si="2"/>
        <v>Normal</v>
      </c>
    </row>
    <row r="33" spans="1:13" x14ac:dyDescent="0.3">
      <c r="A33" s="5" t="s">
        <v>131</v>
      </c>
      <c r="B33" s="6" t="s">
        <v>132</v>
      </c>
      <c r="C33" s="5" t="s">
        <v>133</v>
      </c>
      <c r="D33" s="5" t="s">
        <v>53</v>
      </c>
      <c r="E33" s="5" t="s">
        <v>48</v>
      </c>
      <c r="F33" s="5" t="s">
        <v>134</v>
      </c>
      <c r="G33" s="6">
        <v>3</v>
      </c>
      <c r="H33" s="7">
        <v>1550</v>
      </c>
      <c r="I33" s="7">
        <v>4650</v>
      </c>
      <c r="J33" s="5" t="s">
        <v>16</v>
      </c>
      <c r="K33" t="str">
        <f t="shared" si="0"/>
        <v>Oct</v>
      </c>
      <c r="L33">
        <f t="shared" si="1"/>
        <v>2024</v>
      </c>
      <c r="M33" t="str">
        <f t="shared" si="2"/>
        <v>Normal</v>
      </c>
    </row>
    <row r="34" spans="1:13" x14ac:dyDescent="0.3">
      <c r="A34" s="2" t="s">
        <v>135</v>
      </c>
      <c r="B34" s="3" t="s">
        <v>136</v>
      </c>
      <c r="C34" s="2" t="s">
        <v>137</v>
      </c>
      <c r="D34" s="2" t="s">
        <v>53</v>
      </c>
      <c r="E34" s="2" t="s">
        <v>33</v>
      </c>
      <c r="F34" s="2" t="s">
        <v>138</v>
      </c>
      <c r="G34" s="3">
        <v>2</v>
      </c>
      <c r="H34" s="4">
        <v>1970</v>
      </c>
      <c r="I34" s="4">
        <v>3940</v>
      </c>
      <c r="J34" s="2" t="s">
        <v>22</v>
      </c>
      <c r="K34" t="str">
        <f t="shared" si="0"/>
        <v>Jul</v>
      </c>
      <c r="L34">
        <f t="shared" si="1"/>
        <v>2024</v>
      </c>
      <c r="M34" t="str">
        <f t="shared" si="2"/>
        <v>Normal</v>
      </c>
    </row>
    <row r="35" spans="1:13" x14ac:dyDescent="0.3">
      <c r="A35" s="5" t="s">
        <v>58</v>
      </c>
      <c r="B35" s="6" t="s">
        <v>59</v>
      </c>
      <c r="C35" s="5" t="s">
        <v>139</v>
      </c>
      <c r="D35" s="5" t="s">
        <v>20</v>
      </c>
      <c r="E35" s="5" t="s">
        <v>14</v>
      </c>
      <c r="F35" s="5" t="s">
        <v>140</v>
      </c>
      <c r="G35" s="6">
        <v>2</v>
      </c>
      <c r="H35" s="7">
        <v>420</v>
      </c>
      <c r="I35" s="7">
        <v>840</v>
      </c>
      <c r="J35" s="5" t="s">
        <v>16</v>
      </c>
      <c r="K35" t="str">
        <f t="shared" si="0"/>
        <v>May</v>
      </c>
      <c r="L35">
        <f t="shared" si="1"/>
        <v>2024</v>
      </c>
      <c r="M35" t="str">
        <f t="shared" si="2"/>
        <v>Normal</v>
      </c>
    </row>
    <row r="36" spans="1:13" x14ac:dyDescent="0.3">
      <c r="A36" s="2" t="s">
        <v>17</v>
      </c>
      <c r="B36" s="3" t="s">
        <v>18</v>
      </c>
      <c r="C36" s="2" t="s">
        <v>141</v>
      </c>
      <c r="D36" s="2" t="s">
        <v>74</v>
      </c>
      <c r="E36" s="2" t="s">
        <v>48</v>
      </c>
      <c r="F36" s="2" t="s">
        <v>142</v>
      </c>
      <c r="G36" s="3">
        <v>2</v>
      </c>
      <c r="H36" s="4">
        <v>2040</v>
      </c>
      <c r="I36" s="4">
        <v>4080</v>
      </c>
      <c r="J36" s="2" t="s">
        <v>28</v>
      </c>
      <c r="K36" t="str">
        <f t="shared" si="0"/>
        <v>Apr</v>
      </c>
      <c r="L36">
        <f t="shared" si="1"/>
        <v>2024</v>
      </c>
      <c r="M36" t="str">
        <f t="shared" si="2"/>
        <v>Normal</v>
      </c>
    </row>
    <row r="37" spans="1:13" x14ac:dyDescent="0.3">
      <c r="A37" s="5" t="s">
        <v>143</v>
      </c>
      <c r="B37" s="6" t="s">
        <v>144</v>
      </c>
      <c r="C37" s="5" t="s">
        <v>145</v>
      </c>
      <c r="D37" s="5" t="s">
        <v>20</v>
      </c>
      <c r="E37" s="5" t="s">
        <v>26</v>
      </c>
      <c r="F37" s="5" t="s">
        <v>146</v>
      </c>
      <c r="G37" s="6">
        <v>2</v>
      </c>
      <c r="H37" s="7">
        <v>470</v>
      </c>
      <c r="I37" s="7">
        <v>940</v>
      </c>
      <c r="J37" s="5" t="s">
        <v>28</v>
      </c>
      <c r="K37" t="str">
        <f t="shared" si="0"/>
        <v>Jul</v>
      </c>
      <c r="L37">
        <f t="shared" si="1"/>
        <v>2024</v>
      </c>
      <c r="M37" t="str">
        <f t="shared" si="2"/>
        <v>Normal</v>
      </c>
    </row>
    <row r="38" spans="1:13" x14ac:dyDescent="0.3">
      <c r="A38" s="2" t="s">
        <v>147</v>
      </c>
      <c r="B38" s="3" t="s">
        <v>148</v>
      </c>
      <c r="C38" s="2" t="s">
        <v>19</v>
      </c>
      <c r="D38" s="2" t="s">
        <v>20</v>
      </c>
      <c r="E38" s="2" t="s">
        <v>26</v>
      </c>
      <c r="F38" s="2" t="s">
        <v>146</v>
      </c>
      <c r="G38" s="3">
        <v>5</v>
      </c>
      <c r="H38" s="4">
        <v>780</v>
      </c>
      <c r="I38" s="4">
        <v>3900</v>
      </c>
      <c r="J38" s="2" t="s">
        <v>22</v>
      </c>
      <c r="K38" t="str">
        <f t="shared" si="0"/>
        <v>Jul</v>
      </c>
      <c r="L38">
        <f t="shared" si="1"/>
        <v>2024</v>
      </c>
      <c r="M38" t="str">
        <f t="shared" si="2"/>
        <v>Normal</v>
      </c>
    </row>
    <row r="39" spans="1:13" x14ac:dyDescent="0.3">
      <c r="A39" s="5" t="s">
        <v>10</v>
      </c>
      <c r="B39" s="6" t="s">
        <v>11</v>
      </c>
      <c r="C39" s="5" t="s">
        <v>149</v>
      </c>
      <c r="D39" s="5" t="s">
        <v>13</v>
      </c>
      <c r="E39" s="5" t="s">
        <v>33</v>
      </c>
      <c r="F39" s="5" t="s">
        <v>150</v>
      </c>
      <c r="G39" s="6">
        <v>3</v>
      </c>
      <c r="H39" s="7">
        <v>390</v>
      </c>
      <c r="I39" s="7">
        <v>1170</v>
      </c>
      <c r="J39" s="5" t="s">
        <v>16</v>
      </c>
      <c r="K39" t="str">
        <f t="shared" si="0"/>
        <v>Jan</v>
      </c>
      <c r="L39">
        <f t="shared" si="1"/>
        <v>2024</v>
      </c>
      <c r="M39" t="str">
        <f t="shared" si="2"/>
        <v>Normal</v>
      </c>
    </row>
    <row r="40" spans="1:13" x14ac:dyDescent="0.3">
      <c r="A40" s="2" t="s">
        <v>151</v>
      </c>
      <c r="B40" s="3" t="s">
        <v>152</v>
      </c>
      <c r="C40" s="2" t="s">
        <v>153</v>
      </c>
      <c r="D40" s="2" t="s">
        <v>13</v>
      </c>
      <c r="E40" s="2" t="s">
        <v>48</v>
      </c>
      <c r="F40" s="2" t="s">
        <v>154</v>
      </c>
      <c r="G40" s="3">
        <v>5</v>
      </c>
      <c r="H40" s="4">
        <v>220</v>
      </c>
      <c r="I40" s="4">
        <v>1100</v>
      </c>
      <c r="J40" s="2" t="s">
        <v>16</v>
      </c>
      <c r="K40" t="str">
        <f t="shared" si="0"/>
        <v>Feb</v>
      </c>
      <c r="L40">
        <f t="shared" si="1"/>
        <v>2024</v>
      </c>
      <c r="M40" t="str">
        <f t="shared" si="2"/>
        <v>Normal</v>
      </c>
    </row>
    <row r="41" spans="1:13" x14ac:dyDescent="0.3">
      <c r="A41" s="5" t="s">
        <v>155</v>
      </c>
      <c r="B41" s="6" t="s">
        <v>156</v>
      </c>
      <c r="C41" s="5" t="s">
        <v>157</v>
      </c>
      <c r="D41" s="5" t="s">
        <v>13</v>
      </c>
      <c r="E41" s="5" t="s">
        <v>14</v>
      </c>
      <c r="F41" s="5" t="s">
        <v>158</v>
      </c>
      <c r="G41" s="6">
        <v>1</v>
      </c>
      <c r="H41" s="7">
        <v>470</v>
      </c>
      <c r="I41" s="7">
        <v>470</v>
      </c>
      <c r="J41" s="5" t="s">
        <v>28</v>
      </c>
      <c r="K41" t="str">
        <f t="shared" si="0"/>
        <v>Sep</v>
      </c>
      <c r="L41">
        <f t="shared" si="1"/>
        <v>2024</v>
      </c>
      <c r="M41" t="str">
        <f t="shared" si="2"/>
        <v>Normal</v>
      </c>
    </row>
    <row r="42" spans="1:13" x14ac:dyDescent="0.3">
      <c r="A42" s="2" t="s">
        <v>151</v>
      </c>
      <c r="B42" s="3" t="s">
        <v>152</v>
      </c>
      <c r="C42" s="2" t="s">
        <v>31</v>
      </c>
      <c r="D42" s="2" t="s">
        <v>32</v>
      </c>
      <c r="E42" s="2" t="s">
        <v>26</v>
      </c>
      <c r="F42" s="2" t="s">
        <v>159</v>
      </c>
      <c r="G42" s="3">
        <v>1</v>
      </c>
      <c r="H42" s="4">
        <v>13320</v>
      </c>
      <c r="I42" s="4">
        <v>13320</v>
      </c>
      <c r="J42" s="2" t="s">
        <v>16</v>
      </c>
      <c r="K42" t="str">
        <f t="shared" si="0"/>
        <v>Jun</v>
      </c>
      <c r="L42">
        <f t="shared" si="1"/>
        <v>2024</v>
      </c>
      <c r="M42" t="str">
        <f t="shared" si="2"/>
        <v>High</v>
      </c>
    </row>
    <row r="43" spans="1:13" x14ac:dyDescent="0.3">
      <c r="A43" s="5" t="s">
        <v>160</v>
      </c>
      <c r="B43" s="6" t="s">
        <v>161</v>
      </c>
      <c r="C43" s="5" t="s">
        <v>12</v>
      </c>
      <c r="D43" s="5" t="s">
        <v>13</v>
      </c>
      <c r="E43" s="5" t="s">
        <v>14</v>
      </c>
      <c r="F43" s="5" t="s">
        <v>162</v>
      </c>
      <c r="G43" s="6">
        <v>5</v>
      </c>
      <c r="H43" s="7">
        <v>360</v>
      </c>
      <c r="I43" s="7">
        <v>1800</v>
      </c>
      <c r="J43" s="5" t="s">
        <v>28</v>
      </c>
      <c r="K43" t="str">
        <f t="shared" si="0"/>
        <v>Mar</v>
      </c>
      <c r="L43">
        <f t="shared" si="1"/>
        <v>2024</v>
      </c>
      <c r="M43" t="str">
        <f t="shared" si="2"/>
        <v>Normal</v>
      </c>
    </row>
    <row r="44" spans="1:13" x14ac:dyDescent="0.3">
      <c r="A44" s="2" t="s">
        <v>163</v>
      </c>
      <c r="B44" s="3" t="s">
        <v>164</v>
      </c>
      <c r="C44" s="2" t="s">
        <v>120</v>
      </c>
      <c r="D44" s="2" t="s">
        <v>47</v>
      </c>
      <c r="E44" s="2" t="s">
        <v>33</v>
      </c>
      <c r="F44" s="2" t="s">
        <v>165</v>
      </c>
      <c r="G44" s="3">
        <v>3</v>
      </c>
      <c r="H44" s="4">
        <v>3070</v>
      </c>
      <c r="I44" s="4">
        <v>9210</v>
      </c>
      <c r="J44" s="2" t="s">
        <v>28</v>
      </c>
      <c r="K44" t="str">
        <f t="shared" si="0"/>
        <v>Jul</v>
      </c>
      <c r="L44">
        <f t="shared" si="1"/>
        <v>2024</v>
      </c>
      <c r="M44" t="str">
        <f t="shared" si="2"/>
        <v>Normal</v>
      </c>
    </row>
    <row r="45" spans="1:13" x14ac:dyDescent="0.3">
      <c r="A45" s="5" t="s">
        <v>166</v>
      </c>
      <c r="B45" s="6" t="s">
        <v>73</v>
      </c>
      <c r="C45" s="5" t="s">
        <v>167</v>
      </c>
      <c r="D45" s="5" t="s">
        <v>53</v>
      </c>
      <c r="E45" s="5" t="s">
        <v>26</v>
      </c>
      <c r="F45" s="5" t="s">
        <v>168</v>
      </c>
      <c r="G45" s="6">
        <v>5</v>
      </c>
      <c r="H45" s="7">
        <v>630</v>
      </c>
      <c r="I45" s="7">
        <v>3150</v>
      </c>
      <c r="J45" s="5" t="s">
        <v>28</v>
      </c>
      <c r="K45" t="str">
        <f t="shared" si="0"/>
        <v>Dec</v>
      </c>
      <c r="L45">
        <f t="shared" si="1"/>
        <v>2024</v>
      </c>
      <c r="M45" t="str">
        <f t="shared" si="2"/>
        <v>Normal</v>
      </c>
    </row>
    <row r="46" spans="1:13" x14ac:dyDescent="0.3">
      <c r="A46" s="2" t="s">
        <v>76</v>
      </c>
      <c r="B46" s="3" t="s">
        <v>77</v>
      </c>
      <c r="C46" s="2" t="s">
        <v>169</v>
      </c>
      <c r="D46" s="2" t="s">
        <v>74</v>
      </c>
      <c r="E46" s="2" t="s">
        <v>33</v>
      </c>
      <c r="F46" s="2" t="s">
        <v>170</v>
      </c>
      <c r="G46" s="3">
        <v>2</v>
      </c>
      <c r="H46" s="4">
        <v>3310</v>
      </c>
      <c r="I46" s="4">
        <v>6620</v>
      </c>
      <c r="J46" s="2" t="s">
        <v>28</v>
      </c>
      <c r="K46" t="str">
        <f t="shared" si="0"/>
        <v>Dec</v>
      </c>
      <c r="L46">
        <f t="shared" si="1"/>
        <v>2024</v>
      </c>
      <c r="M46" t="str">
        <f t="shared" si="2"/>
        <v>Normal</v>
      </c>
    </row>
    <row r="47" spans="1:13" x14ac:dyDescent="0.3">
      <c r="A47" s="5" t="s">
        <v>95</v>
      </c>
      <c r="B47" s="6" t="s">
        <v>96</v>
      </c>
      <c r="C47" s="5" t="s">
        <v>171</v>
      </c>
      <c r="D47" s="5" t="s">
        <v>47</v>
      </c>
      <c r="E47" s="5" t="s">
        <v>26</v>
      </c>
      <c r="F47" s="5" t="s">
        <v>172</v>
      </c>
      <c r="G47" s="6">
        <v>2</v>
      </c>
      <c r="H47" s="7">
        <v>370</v>
      </c>
      <c r="I47" s="7">
        <v>740</v>
      </c>
      <c r="J47" s="5" t="s">
        <v>22</v>
      </c>
      <c r="K47" t="str">
        <f t="shared" si="0"/>
        <v>Dec</v>
      </c>
      <c r="L47">
        <f t="shared" si="1"/>
        <v>2024</v>
      </c>
      <c r="M47" t="str">
        <f t="shared" si="2"/>
        <v>Normal</v>
      </c>
    </row>
    <row r="48" spans="1:13" x14ac:dyDescent="0.3">
      <c r="A48" s="2" t="s">
        <v>44</v>
      </c>
      <c r="B48" s="3" t="s">
        <v>45</v>
      </c>
      <c r="C48" s="2" t="s">
        <v>173</v>
      </c>
      <c r="D48" s="2" t="s">
        <v>53</v>
      </c>
      <c r="E48" s="2" t="s">
        <v>33</v>
      </c>
      <c r="F48" s="2" t="s">
        <v>174</v>
      </c>
      <c r="G48" s="3">
        <v>4</v>
      </c>
      <c r="H48" s="4">
        <v>640</v>
      </c>
      <c r="I48" s="4">
        <v>2560</v>
      </c>
      <c r="J48" s="2" t="s">
        <v>28</v>
      </c>
      <c r="K48" t="str">
        <f t="shared" si="0"/>
        <v>Nov</v>
      </c>
      <c r="L48">
        <f t="shared" si="1"/>
        <v>2024</v>
      </c>
      <c r="M48" t="str">
        <f t="shared" si="2"/>
        <v>Normal</v>
      </c>
    </row>
    <row r="49" spans="1:13" x14ac:dyDescent="0.3">
      <c r="A49" s="5" t="s">
        <v>175</v>
      </c>
      <c r="B49" s="6" t="s">
        <v>176</v>
      </c>
      <c r="C49" s="5" t="s">
        <v>177</v>
      </c>
      <c r="D49" s="5" t="s">
        <v>47</v>
      </c>
      <c r="E49" s="5" t="s">
        <v>48</v>
      </c>
      <c r="F49" s="5" t="s">
        <v>178</v>
      </c>
      <c r="G49" s="6">
        <v>4</v>
      </c>
      <c r="H49" s="7">
        <v>2090</v>
      </c>
      <c r="I49" s="7">
        <v>8360</v>
      </c>
      <c r="J49" s="5" t="s">
        <v>22</v>
      </c>
      <c r="K49" t="str">
        <f t="shared" si="0"/>
        <v>Sep</v>
      </c>
      <c r="L49">
        <f t="shared" si="1"/>
        <v>2024</v>
      </c>
      <c r="M49" t="str">
        <f t="shared" si="2"/>
        <v>Normal</v>
      </c>
    </row>
    <row r="50" spans="1:13" x14ac:dyDescent="0.3">
      <c r="A50" s="2" t="s">
        <v>179</v>
      </c>
      <c r="B50" s="3" t="s">
        <v>180</v>
      </c>
      <c r="C50" s="2" t="s">
        <v>181</v>
      </c>
      <c r="D50" s="2" t="s">
        <v>47</v>
      </c>
      <c r="E50" s="2" t="s">
        <v>14</v>
      </c>
      <c r="F50" s="2" t="s">
        <v>182</v>
      </c>
      <c r="G50" s="3">
        <v>1</v>
      </c>
      <c r="H50" s="4">
        <v>860</v>
      </c>
      <c r="I50" s="4">
        <v>860</v>
      </c>
      <c r="J50" s="2" t="s">
        <v>22</v>
      </c>
      <c r="K50" t="str">
        <f t="shared" si="0"/>
        <v>Aug</v>
      </c>
      <c r="L50">
        <f t="shared" si="1"/>
        <v>2024</v>
      </c>
      <c r="M50" t="str">
        <f t="shared" si="2"/>
        <v>Normal</v>
      </c>
    </row>
    <row r="51" spans="1:13" x14ac:dyDescent="0.3">
      <c r="A51" s="5" t="s">
        <v>183</v>
      </c>
      <c r="B51" s="6" t="s">
        <v>184</v>
      </c>
      <c r="C51" s="5" t="s">
        <v>141</v>
      </c>
      <c r="D51" s="5" t="s">
        <v>74</v>
      </c>
      <c r="E51" s="5" t="s">
        <v>14</v>
      </c>
      <c r="F51" s="5" t="s">
        <v>185</v>
      </c>
      <c r="G51" s="6">
        <v>1</v>
      </c>
      <c r="H51" s="7">
        <v>1920</v>
      </c>
      <c r="I51" s="7">
        <v>1920</v>
      </c>
      <c r="J51" s="5" t="s">
        <v>28</v>
      </c>
      <c r="K51" t="str">
        <f t="shared" si="0"/>
        <v>Aug</v>
      </c>
      <c r="L51">
        <f t="shared" si="1"/>
        <v>2024</v>
      </c>
      <c r="M51" t="str">
        <f t="shared" si="2"/>
        <v>Normal</v>
      </c>
    </row>
    <row r="52" spans="1:13" x14ac:dyDescent="0.3">
      <c r="A52" s="2" t="s">
        <v>116</v>
      </c>
      <c r="B52" s="3" t="s">
        <v>117</v>
      </c>
      <c r="C52" s="2" t="s">
        <v>105</v>
      </c>
      <c r="D52" s="2" t="s">
        <v>42</v>
      </c>
      <c r="E52" s="2" t="s">
        <v>48</v>
      </c>
      <c r="F52" s="2" t="s">
        <v>186</v>
      </c>
      <c r="G52" s="3">
        <v>4</v>
      </c>
      <c r="H52" s="4">
        <v>1420</v>
      </c>
      <c r="I52" s="4">
        <v>5680</v>
      </c>
      <c r="J52" s="2" t="s">
        <v>16</v>
      </c>
      <c r="K52" t="str">
        <f t="shared" si="0"/>
        <v>Nov</v>
      </c>
      <c r="L52">
        <f t="shared" si="1"/>
        <v>2024</v>
      </c>
      <c r="M52" t="str">
        <f t="shared" si="2"/>
        <v>Normal</v>
      </c>
    </row>
    <row r="53" spans="1:13" x14ac:dyDescent="0.3">
      <c r="A53" s="5" t="s">
        <v>187</v>
      </c>
      <c r="B53" s="6" t="s">
        <v>188</v>
      </c>
      <c r="C53" s="5" t="s">
        <v>189</v>
      </c>
      <c r="D53" s="5" t="s">
        <v>53</v>
      </c>
      <c r="E53" s="5" t="s">
        <v>26</v>
      </c>
      <c r="F53" s="5" t="s">
        <v>190</v>
      </c>
      <c r="G53" s="6">
        <v>2</v>
      </c>
      <c r="H53" s="7">
        <v>3460</v>
      </c>
      <c r="I53" s="7">
        <v>6920</v>
      </c>
      <c r="J53" s="5" t="s">
        <v>16</v>
      </c>
      <c r="K53" t="str">
        <f t="shared" si="0"/>
        <v>Nov</v>
      </c>
      <c r="L53">
        <f t="shared" si="1"/>
        <v>2024</v>
      </c>
      <c r="M53" t="str">
        <f t="shared" si="2"/>
        <v>Normal</v>
      </c>
    </row>
    <row r="54" spans="1:13" x14ac:dyDescent="0.3">
      <c r="A54" s="2" t="s">
        <v>191</v>
      </c>
      <c r="B54" s="3" t="s">
        <v>192</v>
      </c>
      <c r="C54" s="2" t="s">
        <v>177</v>
      </c>
      <c r="D54" s="2" t="s">
        <v>47</v>
      </c>
      <c r="E54" s="2" t="s">
        <v>26</v>
      </c>
      <c r="F54" s="2" t="s">
        <v>193</v>
      </c>
      <c r="G54" s="3">
        <v>1</v>
      </c>
      <c r="H54" s="4">
        <v>1910</v>
      </c>
      <c r="I54" s="4">
        <v>1910</v>
      </c>
      <c r="J54" s="2" t="s">
        <v>22</v>
      </c>
      <c r="K54" t="str">
        <f t="shared" si="0"/>
        <v>Dec</v>
      </c>
      <c r="L54">
        <f t="shared" si="1"/>
        <v>2024</v>
      </c>
      <c r="M54" t="str">
        <f t="shared" si="2"/>
        <v>Normal</v>
      </c>
    </row>
    <row r="55" spans="1:13" x14ac:dyDescent="0.3">
      <c r="A55" s="5" t="s">
        <v>194</v>
      </c>
      <c r="B55" s="6" t="s">
        <v>195</v>
      </c>
      <c r="C55" s="5" t="s">
        <v>153</v>
      </c>
      <c r="D55" s="5" t="s">
        <v>13</v>
      </c>
      <c r="E55" s="5" t="s">
        <v>14</v>
      </c>
      <c r="F55" s="5" t="s">
        <v>196</v>
      </c>
      <c r="G55" s="6">
        <v>1</v>
      </c>
      <c r="H55" s="7">
        <v>240</v>
      </c>
      <c r="I55" s="7">
        <v>240</v>
      </c>
      <c r="J55" s="5" t="s">
        <v>22</v>
      </c>
      <c r="K55" t="str">
        <f t="shared" si="0"/>
        <v>Mar</v>
      </c>
      <c r="L55">
        <f t="shared" si="1"/>
        <v>2024</v>
      </c>
      <c r="M55" t="str">
        <f t="shared" si="2"/>
        <v>Normal</v>
      </c>
    </row>
    <row r="56" spans="1:13" x14ac:dyDescent="0.3">
      <c r="A56" s="2" t="s">
        <v>197</v>
      </c>
      <c r="B56" s="3" t="s">
        <v>198</v>
      </c>
      <c r="C56" s="2" t="s">
        <v>120</v>
      </c>
      <c r="D56" s="2" t="s">
        <v>47</v>
      </c>
      <c r="E56" s="2" t="s">
        <v>48</v>
      </c>
      <c r="F56" s="2" t="s">
        <v>199</v>
      </c>
      <c r="G56" s="3">
        <v>1</v>
      </c>
      <c r="H56" s="4">
        <v>3120</v>
      </c>
      <c r="I56" s="4">
        <v>3120</v>
      </c>
      <c r="J56" s="2" t="s">
        <v>28</v>
      </c>
      <c r="K56" t="str">
        <f t="shared" si="0"/>
        <v>Jul</v>
      </c>
      <c r="L56">
        <f t="shared" si="1"/>
        <v>2024</v>
      </c>
      <c r="M56" t="str">
        <f t="shared" si="2"/>
        <v>Normal</v>
      </c>
    </row>
    <row r="57" spans="1:13" x14ac:dyDescent="0.3">
      <c r="A57" s="5" t="s">
        <v>92</v>
      </c>
      <c r="B57" s="6" t="s">
        <v>93</v>
      </c>
      <c r="C57" s="5" t="s">
        <v>200</v>
      </c>
      <c r="D57" s="5" t="s">
        <v>74</v>
      </c>
      <c r="E57" s="5" t="s">
        <v>33</v>
      </c>
      <c r="F57" s="5" t="s">
        <v>201</v>
      </c>
      <c r="G57" s="6">
        <v>4</v>
      </c>
      <c r="H57" s="7">
        <v>410</v>
      </c>
      <c r="I57" s="7">
        <v>1640</v>
      </c>
      <c r="J57" s="5" t="s">
        <v>16</v>
      </c>
      <c r="K57" t="str">
        <f t="shared" si="0"/>
        <v>Jul</v>
      </c>
      <c r="L57">
        <f t="shared" si="1"/>
        <v>2024</v>
      </c>
      <c r="M57" t="str">
        <f t="shared" si="2"/>
        <v>Normal</v>
      </c>
    </row>
    <row r="58" spans="1:13" x14ac:dyDescent="0.3">
      <c r="A58" s="2" t="s">
        <v>163</v>
      </c>
      <c r="B58" s="3" t="s">
        <v>164</v>
      </c>
      <c r="C58" s="2" t="s">
        <v>141</v>
      </c>
      <c r="D58" s="2" t="s">
        <v>74</v>
      </c>
      <c r="E58" s="2" t="s">
        <v>48</v>
      </c>
      <c r="F58" s="2" t="s">
        <v>201</v>
      </c>
      <c r="G58" s="3">
        <v>3</v>
      </c>
      <c r="H58" s="4">
        <v>2070</v>
      </c>
      <c r="I58" s="4">
        <v>6210</v>
      </c>
      <c r="J58" s="2" t="s">
        <v>16</v>
      </c>
      <c r="K58" t="str">
        <f t="shared" si="0"/>
        <v>Jul</v>
      </c>
      <c r="L58">
        <f t="shared" si="1"/>
        <v>2024</v>
      </c>
      <c r="M58" t="str">
        <f t="shared" si="2"/>
        <v>Normal</v>
      </c>
    </row>
    <row r="59" spans="1:13" x14ac:dyDescent="0.3">
      <c r="A59" s="5" t="s">
        <v>92</v>
      </c>
      <c r="B59" s="6" t="s">
        <v>93</v>
      </c>
      <c r="C59" s="5" t="s">
        <v>145</v>
      </c>
      <c r="D59" s="5" t="s">
        <v>20</v>
      </c>
      <c r="E59" s="5" t="s">
        <v>48</v>
      </c>
      <c r="F59" s="5" t="s">
        <v>202</v>
      </c>
      <c r="G59" s="6">
        <v>3</v>
      </c>
      <c r="H59" s="7">
        <v>500</v>
      </c>
      <c r="I59" s="7">
        <v>1500</v>
      </c>
      <c r="J59" s="5" t="s">
        <v>22</v>
      </c>
      <c r="K59" t="str">
        <f t="shared" si="0"/>
        <v>Aug</v>
      </c>
      <c r="L59">
        <f t="shared" si="1"/>
        <v>2024</v>
      </c>
      <c r="M59" t="str">
        <f t="shared" si="2"/>
        <v>Normal</v>
      </c>
    </row>
    <row r="60" spans="1:13" x14ac:dyDescent="0.3">
      <c r="A60" s="2" t="s">
        <v>197</v>
      </c>
      <c r="B60" s="3" t="s">
        <v>198</v>
      </c>
      <c r="C60" s="2" t="s">
        <v>12</v>
      </c>
      <c r="D60" s="2" t="s">
        <v>13</v>
      </c>
      <c r="E60" s="2" t="s">
        <v>33</v>
      </c>
      <c r="F60" s="2" t="s">
        <v>162</v>
      </c>
      <c r="G60" s="3">
        <v>4</v>
      </c>
      <c r="H60" s="4">
        <v>370</v>
      </c>
      <c r="I60" s="4">
        <v>1480</v>
      </c>
      <c r="J60" s="2" t="s">
        <v>28</v>
      </c>
      <c r="K60" t="str">
        <f t="shared" si="0"/>
        <v>Mar</v>
      </c>
      <c r="L60">
        <f t="shared" si="1"/>
        <v>2024</v>
      </c>
      <c r="M60" t="str">
        <f t="shared" si="2"/>
        <v>Normal</v>
      </c>
    </row>
    <row r="61" spans="1:13" x14ac:dyDescent="0.3">
      <c r="A61" s="5" t="s">
        <v>203</v>
      </c>
      <c r="B61" s="6" t="s">
        <v>204</v>
      </c>
      <c r="C61" s="5" t="s">
        <v>128</v>
      </c>
      <c r="D61" s="5" t="s">
        <v>42</v>
      </c>
      <c r="E61" s="5" t="s">
        <v>48</v>
      </c>
      <c r="F61" s="5" t="s">
        <v>205</v>
      </c>
      <c r="G61" s="6">
        <v>4</v>
      </c>
      <c r="H61" s="7">
        <v>230</v>
      </c>
      <c r="I61" s="7">
        <v>920</v>
      </c>
      <c r="J61" s="5" t="s">
        <v>22</v>
      </c>
      <c r="K61" t="str">
        <f t="shared" si="0"/>
        <v>Mar</v>
      </c>
      <c r="L61">
        <f t="shared" si="1"/>
        <v>2024</v>
      </c>
      <c r="M61" t="str">
        <f t="shared" si="2"/>
        <v>Normal</v>
      </c>
    </row>
    <row r="62" spans="1:13" x14ac:dyDescent="0.3">
      <c r="A62" s="2" t="s">
        <v>206</v>
      </c>
      <c r="B62" s="3" t="s">
        <v>207</v>
      </c>
      <c r="C62" s="2" t="s">
        <v>12</v>
      </c>
      <c r="D62" s="2" t="s">
        <v>13</v>
      </c>
      <c r="E62" s="2" t="s">
        <v>26</v>
      </c>
      <c r="F62" s="2" t="s">
        <v>208</v>
      </c>
      <c r="G62" s="3">
        <v>4</v>
      </c>
      <c r="H62" s="4">
        <v>340</v>
      </c>
      <c r="I62" s="4">
        <v>1360</v>
      </c>
      <c r="J62" s="2" t="s">
        <v>28</v>
      </c>
      <c r="K62" t="str">
        <f t="shared" si="0"/>
        <v>Jun</v>
      </c>
      <c r="L62">
        <f t="shared" si="1"/>
        <v>2024</v>
      </c>
      <c r="M62" t="str">
        <f t="shared" si="2"/>
        <v>Normal</v>
      </c>
    </row>
    <row r="63" spans="1:13" x14ac:dyDescent="0.3">
      <c r="A63" s="5" t="s">
        <v>209</v>
      </c>
      <c r="B63" s="6" t="s">
        <v>210</v>
      </c>
      <c r="C63" s="5" t="s">
        <v>139</v>
      </c>
      <c r="D63" s="5" t="s">
        <v>20</v>
      </c>
      <c r="E63" s="5" t="s">
        <v>33</v>
      </c>
      <c r="F63" s="5" t="s">
        <v>211</v>
      </c>
      <c r="G63" s="6">
        <v>1</v>
      </c>
      <c r="H63" s="7">
        <v>380</v>
      </c>
      <c r="I63" s="7">
        <v>380</v>
      </c>
      <c r="J63" s="5" t="s">
        <v>16</v>
      </c>
      <c r="K63" t="str">
        <f t="shared" si="0"/>
        <v>Aug</v>
      </c>
      <c r="L63">
        <f t="shared" si="1"/>
        <v>2024</v>
      </c>
      <c r="M63" t="str">
        <f t="shared" si="2"/>
        <v>Normal</v>
      </c>
    </row>
    <row r="64" spans="1:13" x14ac:dyDescent="0.3">
      <c r="A64" s="2" t="s">
        <v>92</v>
      </c>
      <c r="B64" s="3" t="s">
        <v>93</v>
      </c>
      <c r="C64" s="2" t="s">
        <v>31</v>
      </c>
      <c r="D64" s="2" t="s">
        <v>32</v>
      </c>
      <c r="E64" s="2" t="s">
        <v>33</v>
      </c>
      <c r="F64" s="2" t="s">
        <v>212</v>
      </c>
      <c r="G64" s="3">
        <v>1</v>
      </c>
      <c r="H64" s="4">
        <v>12280</v>
      </c>
      <c r="I64" s="4">
        <v>12280</v>
      </c>
      <c r="J64" s="2" t="s">
        <v>22</v>
      </c>
      <c r="K64" t="str">
        <f t="shared" si="0"/>
        <v>Nov</v>
      </c>
      <c r="L64">
        <f t="shared" si="1"/>
        <v>2024</v>
      </c>
      <c r="M64" t="str">
        <f t="shared" si="2"/>
        <v>High</v>
      </c>
    </row>
    <row r="65" spans="1:13" x14ac:dyDescent="0.3">
      <c r="A65" s="5" t="s">
        <v>50</v>
      </c>
      <c r="B65" s="6" t="s">
        <v>51</v>
      </c>
      <c r="C65" s="5" t="s">
        <v>173</v>
      </c>
      <c r="D65" s="5" t="s">
        <v>53</v>
      </c>
      <c r="E65" s="5" t="s">
        <v>48</v>
      </c>
      <c r="F65" s="5" t="s">
        <v>213</v>
      </c>
      <c r="G65" s="6">
        <v>2</v>
      </c>
      <c r="H65" s="7">
        <v>720</v>
      </c>
      <c r="I65" s="7">
        <v>1440</v>
      </c>
      <c r="J65" s="5" t="s">
        <v>16</v>
      </c>
      <c r="K65" t="str">
        <f t="shared" si="0"/>
        <v>Mar</v>
      </c>
      <c r="L65">
        <f t="shared" si="1"/>
        <v>2024</v>
      </c>
      <c r="M65" t="str">
        <f t="shared" si="2"/>
        <v>Normal</v>
      </c>
    </row>
    <row r="66" spans="1:13" x14ac:dyDescent="0.3">
      <c r="A66" s="2" t="s">
        <v>10</v>
      </c>
      <c r="B66" s="3" t="s">
        <v>11</v>
      </c>
      <c r="C66" s="2" t="s">
        <v>101</v>
      </c>
      <c r="D66" s="2" t="s">
        <v>42</v>
      </c>
      <c r="E66" s="2" t="s">
        <v>14</v>
      </c>
      <c r="F66" s="2" t="s">
        <v>214</v>
      </c>
      <c r="G66" s="3">
        <v>3</v>
      </c>
      <c r="H66" s="4">
        <v>300</v>
      </c>
      <c r="I66" s="4">
        <v>900</v>
      </c>
      <c r="J66" s="2" t="s">
        <v>16</v>
      </c>
      <c r="K66" t="str">
        <f t="shared" si="0"/>
        <v>Jul</v>
      </c>
      <c r="L66">
        <f t="shared" si="1"/>
        <v>2024</v>
      </c>
      <c r="M66" t="str">
        <f t="shared" si="2"/>
        <v>Normal</v>
      </c>
    </row>
    <row r="67" spans="1:13" x14ac:dyDescent="0.3">
      <c r="A67" s="5" t="s">
        <v>215</v>
      </c>
      <c r="B67" s="6" t="s">
        <v>216</v>
      </c>
      <c r="C67" s="5" t="s">
        <v>217</v>
      </c>
      <c r="D67" s="5" t="s">
        <v>47</v>
      </c>
      <c r="E67" s="5" t="s">
        <v>33</v>
      </c>
      <c r="F67" s="5" t="s">
        <v>218</v>
      </c>
      <c r="G67" s="6">
        <v>2</v>
      </c>
      <c r="H67" s="7">
        <v>1580</v>
      </c>
      <c r="I67" s="7">
        <v>3160</v>
      </c>
      <c r="J67" s="5" t="s">
        <v>16</v>
      </c>
      <c r="K67" t="str">
        <f t="shared" ref="K67:K130" si="3">TEXT(F67,"mmm")</f>
        <v>Jun</v>
      </c>
      <c r="L67">
        <f t="shared" ref="L67:L130" si="4">YEAR(F67)</f>
        <v>2024</v>
      </c>
      <c r="M67" t="str">
        <f t="shared" ref="M67:M130" si="5">IF(I67&gt;10000,"High","Normal")</f>
        <v>Normal</v>
      </c>
    </row>
    <row r="68" spans="1:13" x14ac:dyDescent="0.3">
      <c r="A68" s="2" t="s">
        <v>219</v>
      </c>
      <c r="B68" s="3" t="s">
        <v>220</v>
      </c>
      <c r="C68" s="2" t="s">
        <v>12</v>
      </c>
      <c r="D68" s="2" t="s">
        <v>13</v>
      </c>
      <c r="E68" s="2" t="s">
        <v>14</v>
      </c>
      <c r="F68" s="2" t="s">
        <v>221</v>
      </c>
      <c r="G68" s="3">
        <v>2</v>
      </c>
      <c r="H68" s="4">
        <v>340</v>
      </c>
      <c r="I68" s="4">
        <v>680</v>
      </c>
      <c r="J68" s="2" t="s">
        <v>22</v>
      </c>
      <c r="K68" t="str">
        <f t="shared" si="3"/>
        <v>Feb</v>
      </c>
      <c r="L68">
        <f t="shared" si="4"/>
        <v>2024</v>
      </c>
      <c r="M68" t="str">
        <f t="shared" si="5"/>
        <v>Normal</v>
      </c>
    </row>
    <row r="69" spans="1:13" x14ac:dyDescent="0.3">
      <c r="A69" s="5" t="s">
        <v>222</v>
      </c>
      <c r="B69" s="6" t="s">
        <v>223</v>
      </c>
      <c r="C69" s="5" t="s">
        <v>78</v>
      </c>
      <c r="D69" s="5" t="s">
        <v>20</v>
      </c>
      <c r="E69" s="5" t="s">
        <v>26</v>
      </c>
      <c r="F69" s="5" t="s">
        <v>224</v>
      </c>
      <c r="G69" s="6">
        <v>5</v>
      </c>
      <c r="H69" s="7">
        <v>320</v>
      </c>
      <c r="I69" s="7">
        <v>1600</v>
      </c>
      <c r="J69" s="5" t="s">
        <v>16</v>
      </c>
      <c r="K69" t="str">
        <f t="shared" si="3"/>
        <v>Jan</v>
      </c>
      <c r="L69">
        <f t="shared" si="4"/>
        <v>2024</v>
      </c>
      <c r="M69" t="str">
        <f t="shared" si="5"/>
        <v>Normal</v>
      </c>
    </row>
    <row r="70" spans="1:13" x14ac:dyDescent="0.3">
      <c r="A70" s="2" t="s">
        <v>126</v>
      </c>
      <c r="B70" s="3" t="s">
        <v>127</v>
      </c>
      <c r="C70" s="2" t="s">
        <v>171</v>
      </c>
      <c r="D70" s="2" t="s">
        <v>47</v>
      </c>
      <c r="E70" s="2" t="s">
        <v>48</v>
      </c>
      <c r="F70" s="2" t="s">
        <v>225</v>
      </c>
      <c r="G70" s="3">
        <v>3</v>
      </c>
      <c r="H70" s="4">
        <v>360</v>
      </c>
      <c r="I70" s="4">
        <v>1080</v>
      </c>
      <c r="J70" s="2" t="s">
        <v>28</v>
      </c>
      <c r="K70" t="str">
        <f t="shared" si="3"/>
        <v>Jan</v>
      </c>
      <c r="L70">
        <f t="shared" si="4"/>
        <v>2024</v>
      </c>
      <c r="M70" t="str">
        <f t="shared" si="5"/>
        <v>Normal</v>
      </c>
    </row>
    <row r="71" spans="1:13" x14ac:dyDescent="0.3">
      <c r="A71" s="5" t="s">
        <v>17</v>
      </c>
      <c r="B71" s="6" t="s">
        <v>18</v>
      </c>
      <c r="C71" s="5" t="s">
        <v>226</v>
      </c>
      <c r="D71" s="5" t="s">
        <v>74</v>
      </c>
      <c r="E71" s="5" t="s">
        <v>14</v>
      </c>
      <c r="F71" s="5" t="s">
        <v>227</v>
      </c>
      <c r="G71" s="6">
        <v>4</v>
      </c>
      <c r="H71" s="7">
        <v>1030</v>
      </c>
      <c r="I71" s="7">
        <v>4120</v>
      </c>
      <c r="J71" s="5" t="s">
        <v>28</v>
      </c>
      <c r="K71" t="str">
        <f t="shared" si="3"/>
        <v>Dec</v>
      </c>
      <c r="L71">
        <f t="shared" si="4"/>
        <v>2024</v>
      </c>
      <c r="M71" t="str">
        <f t="shared" si="5"/>
        <v>Normal</v>
      </c>
    </row>
    <row r="72" spans="1:13" x14ac:dyDescent="0.3">
      <c r="A72" s="2" t="s">
        <v>228</v>
      </c>
      <c r="B72" s="3" t="s">
        <v>229</v>
      </c>
      <c r="C72" s="2" t="s">
        <v>46</v>
      </c>
      <c r="D72" s="2" t="s">
        <v>47</v>
      </c>
      <c r="E72" s="2" t="s">
        <v>48</v>
      </c>
      <c r="F72" s="2" t="s">
        <v>230</v>
      </c>
      <c r="G72" s="3">
        <v>5</v>
      </c>
      <c r="H72" s="4">
        <v>920</v>
      </c>
      <c r="I72" s="4">
        <v>4600</v>
      </c>
      <c r="J72" s="2" t="s">
        <v>28</v>
      </c>
      <c r="K72" t="str">
        <f t="shared" si="3"/>
        <v>Sep</v>
      </c>
      <c r="L72">
        <f t="shared" si="4"/>
        <v>2024</v>
      </c>
      <c r="M72" t="str">
        <f t="shared" si="5"/>
        <v>Normal</v>
      </c>
    </row>
    <row r="73" spans="1:13" x14ac:dyDescent="0.3">
      <c r="A73" s="5" t="s">
        <v>203</v>
      </c>
      <c r="B73" s="6" t="s">
        <v>204</v>
      </c>
      <c r="C73" s="5" t="s">
        <v>153</v>
      </c>
      <c r="D73" s="5" t="s">
        <v>13</v>
      </c>
      <c r="E73" s="5" t="s">
        <v>48</v>
      </c>
      <c r="F73" s="5" t="s">
        <v>231</v>
      </c>
      <c r="G73" s="6">
        <v>1</v>
      </c>
      <c r="H73" s="7">
        <v>240</v>
      </c>
      <c r="I73" s="7">
        <v>240</v>
      </c>
      <c r="J73" s="5" t="s">
        <v>22</v>
      </c>
      <c r="K73" t="str">
        <f t="shared" si="3"/>
        <v>May</v>
      </c>
      <c r="L73">
        <f t="shared" si="4"/>
        <v>2024</v>
      </c>
      <c r="M73" t="str">
        <f t="shared" si="5"/>
        <v>Normal</v>
      </c>
    </row>
    <row r="74" spans="1:13" x14ac:dyDescent="0.3">
      <c r="A74" s="2" t="s">
        <v>232</v>
      </c>
      <c r="B74" s="3" t="s">
        <v>233</v>
      </c>
      <c r="C74" s="2" t="s">
        <v>234</v>
      </c>
      <c r="D74" s="2" t="s">
        <v>42</v>
      </c>
      <c r="E74" s="2" t="s">
        <v>14</v>
      </c>
      <c r="F74" s="2" t="s">
        <v>235</v>
      </c>
      <c r="G74" s="3">
        <v>4</v>
      </c>
      <c r="H74" s="4">
        <v>340</v>
      </c>
      <c r="I74" s="4">
        <v>1360</v>
      </c>
      <c r="J74" s="2" t="s">
        <v>28</v>
      </c>
      <c r="K74" t="str">
        <f t="shared" si="3"/>
        <v>Jun</v>
      </c>
      <c r="L74">
        <f t="shared" si="4"/>
        <v>2024</v>
      </c>
      <c r="M74" t="str">
        <f t="shared" si="5"/>
        <v>Normal</v>
      </c>
    </row>
    <row r="75" spans="1:13" x14ac:dyDescent="0.3">
      <c r="A75" s="5" t="s">
        <v>236</v>
      </c>
      <c r="B75" s="6" t="s">
        <v>237</v>
      </c>
      <c r="C75" s="5" t="s">
        <v>238</v>
      </c>
      <c r="D75" s="5" t="s">
        <v>13</v>
      </c>
      <c r="E75" s="5" t="s">
        <v>26</v>
      </c>
      <c r="F75" s="5" t="s">
        <v>239</v>
      </c>
      <c r="G75" s="6">
        <v>5</v>
      </c>
      <c r="H75" s="7">
        <v>50</v>
      </c>
      <c r="I75" s="7">
        <v>250</v>
      </c>
      <c r="J75" s="5" t="s">
        <v>16</v>
      </c>
      <c r="K75" t="str">
        <f t="shared" si="3"/>
        <v>Dec</v>
      </c>
      <c r="L75">
        <f t="shared" si="4"/>
        <v>2024</v>
      </c>
      <c r="M75" t="str">
        <f t="shared" si="5"/>
        <v>Normal</v>
      </c>
    </row>
    <row r="76" spans="1:13" x14ac:dyDescent="0.3">
      <c r="A76" s="2" t="s">
        <v>110</v>
      </c>
      <c r="B76" s="3" t="s">
        <v>111</v>
      </c>
      <c r="C76" s="2" t="s">
        <v>101</v>
      </c>
      <c r="D76" s="2" t="s">
        <v>42</v>
      </c>
      <c r="E76" s="2" t="s">
        <v>14</v>
      </c>
      <c r="F76" s="2" t="s">
        <v>240</v>
      </c>
      <c r="G76" s="3">
        <v>4</v>
      </c>
      <c r="H76" s="4">
        <v>270</v>
      </c>
      <c r="I76" s="4">
        <v>1080</v>
      </c>
      <c r="J76" s="2" t="s">
        <v>16</v>
      </c>
      <c r="K76" t="str">
        <f t="shared" si="3"/>
        <v>Sep</v>
      </c>
      <c r="L76">
        <f t="shared" si="4"/>
        <v>2024</v>
      </c>
      <c r="M76" t="str">
        <f t="shared" si="5"/>
        <v>Normal</v>
      </c>
    </row>
    <row r="77" spans="1:13" x14ac:dyDescent="0.3">
      <c r="A77" s="5" t="s">
        <v>39</v>
      </c>
      <c r="B77" s="6" t="s">
        <v>40</v>
      </c>
      <c r="C77" s="5" t="s">
        <v>90</v>
      </c>
      <c r="D77" s="5" t="s">
        <v>47</v>
      </c>
      <c r="E77" s="5" t="s">
        <v>26</v>
      </c>
      <c r="F77" s="5" t="s">
        <v>122</v>
      </c>
      <c r="G77" s="6">
        <v>1</v>
      </c>
      <c r="H77" s="7">
        <v>590</v>
      </c>
      <c r="I77" s="7">
        <v>590</v>
      </c>
      <c r="J77" s="5" t="s">
        <v>22</v>
      </c>
      <c r="K77" t="str">
        <f t="shared" si="3"/>
        <v>Feb</v>
      </c>
      <c r="L77">
        <f t="shared" si="4"/>
        <v>2024</v>
      </c>
      <c r="M77" t="str">
        <f t="shared" si="5"/>
        <v>Normal</v>
      </c>
    </row>
    <row r="78" spans="1:13" x14ac:dyDescent="0.3">
      <c r="A78" s="2" t="s">
        <v>241</v>
      </c>
      <c r="B78" s="3" t="s">
        <v>242</v>
      </c>
      <c r="C78" s="2" t="s">
        <v>177</v>
      </c>
      <c r="D78" s="2" t="s">
        <v>47</v>
      </c>
      <c r="E78" s="2" t="s">
        <v>48</v>
      </c>
      <c r="F78" s="2" t="s">
        <v>214</v>
      </c>
      <c r="G78" s="3">
        <v>5</v>
      </c>
      <c r="H78" s="4">
        <v>1920</v>
      </c>
      <c r="I78" s="4">
        <v>9600</v>
      </c>
      <c r="J78" s="2" t="s">
        <v>16</v>
      </c>
      <c r="K78" t="str">
        <f t="shared" si="3"/>
        <v>Jul</v>
      </c>
      <c r="L78">
        <f t="shared" si="4"/>
        <v>2024</v>
      </c>
      <c r="M78" t="str">
        <f t="shared" si="5"/>
        <v>Normal</v>
      </c>
    </row>
    <row r="79" spans="1:13" x14ac:dyDescent="0.3">
      <c r="A79" s="5" t="s">
        <v>116</v>
      </c>
      <c r="B79" s="6" t="s">
        <v>117</v>
      </c>
      <c r="C79" s="5" t="s">
        <v>12</v>
      </c>
      <c r="D79" s="5" t="s">
        <v>13</v>
      </c>
      <c r="E79" s="5" t="s">
        <v>26</v>
      </c>
      <c r="F79" s="5" t="s">
        <v>243</v>
      </c>
      <c r="G79" s="6">
        <v>5</v>
      </c>
      <c r="H79" s="7">
        <v>380</v>
      </c>
      <c r="I79" s="7">
        <v>1900</v>
      </c>
      <c r="J79" s="5" t="s">
        <v>16</v>
      </c>
      <c r="K79" t="str">
        <f t="shared" si="3"/>
        <v>Jun</v>
      </c>
      <c r="L79">
        <f t="shared" si="4"/>
        <v>2024</v>
      </c>
      <c r="M79" t="str">
        <f t="shared" si="5"/>
        <v>Normal</v>
      </c>
    </row>
    <row r="80" spans="1:13" x14ac:dyDescent="0.3">
      <c r="A80" s="2" t="s">
        <v>244</v>
      </c>
      <c r="B80" s="3" t="s">
        <v>245</v>
      </c>
      <c r="C80" s="2" t="s">
        <v>238</v>
      </c>
      <c r="D80" s="2" t="s">
        <v>13</v>
      </c>
      <c r="E80" s="2" t="s">
        <v>26</v>
      </c>
      <c r="F80" s="2" t="s">
        <v>246</v>
      </c>
      <c r="G80" s="3">
        <v>1</v>
      </c>
      <c r="H80" s="4">
        <v>50</v>
      </c>
      <c r="I80" s="4">
        <v>50</v>
      </c>
      <c r="J80" s="2" t="s">
        <v>22</v>
      </c>
      <c r="K80" t="str">
        <f t="shared" si="3"/>
        <v>Apr</v>
      </c>
      <c r="L80">
        <f t="shared" si="4"/>
        <v>2024</v>
      </c>
      <c r="M80" t="str">
        <f t="shared" si="5"/>
        <v>Normal</v>
      </c>
    </row>
    <row r="81" spans="1:13" x14ac:dyDescent="0.3">
      <c r="A81" s="5" t="s">
        <v>72</v>
      </c>
      <c r="B81" s="6" t="s">
        <v>73</v>
      </c>
      <c r="C81" s="5" t="s">
        <v>25</v>
      </c>
      <c r="D81" s="5" t="s">
        <v>20</v>
      </c>
      <c r="E81" s="5" t="s">
        <v>26</v>
      </c>
      <c r="F81" s="5" t="s">
        <v>247</v>
      </c>
      <c r="G81" s="6">
        <v>4</v>
      </c>
      <c r="H81" s="7">
        <v>190</v>
      </c>
      <c r="I81" s="7">
        <v>760</v>
      </c>
      <c r="J81" s="5" t="s">
        <v>22</v>
      </c>
      <c r="K81" t="str">
        <f t="shared" si="3"/>
        <v>May</v>
      </c>
      <c r="L81">
        <f t="shared" si="4"/>
        <v>2024</v>
      </c>
      <c r="M81" t="str">
        <f t="shared" si="5"/>
        <v>Normal</v>
      </c>
    </row>
    <row r="82" spans="1:13" x14ac:dyDescent="0.3">
      <c r="A82" s="2" t="s">
        <v>155</v>
      </c>
      <c r="B82" s="3" t="s">
        <v>156</v>
      </c>
      <c r="C82" s="2" t="s">
        <v>248</v>
      </c>
      <c r="D82" s="2" t="s">
        <v>13</v>
      </c>
      <c r="E82" s="2" t="s">
        <v>14</v>
      </c>
      <c r="F82" s="2" t="s">
        <v>79</v>
      </c>
      <c r="G82" s="3">
        <v>3</v>
      </c>
      <c r="H82" s="4">
        <v>170</v>
      </c>
      <c r="I82" s="4">
        <v>510</v>
      </c>
      <c r="J82" s="2" t="s">
        <v>28</v>
      </c>
      <c r="K82" t="str">
        <f t="shared" si="3"/>
        <v>Jan</v>
      </c>
      <c r="L82">
        <f t="shared" si="4"/>
        <v>2024</v>
      </c>
      <c r="M82" t="str">
        <f t="shared" si="5"/>
        <v>Normal</v>
      </c>
    </row>
    <row r="83" spans="1:13" x14ac:dyDescent="0.3">
      <c r="A83" s="5" t="s">
        <v>123</v>
      </c>
      <c r="B83" s="6" t="s">
        <v>124</v>
      </c>
      <c r="C83" s="5" t="s">
        <v>118</v>
      </c>
      <c r="D83" s="5" t="s">
        <v>32</v>
      </c>
      <c r="E83" s="5" t="s">
        <v>48</v>
      </c>
      <c r="F83" s="5" t="s">
        <v>190</v>
      </c>
      <c r="G83" s="6">
        <v>2</v>
      </c>
      <c r="H83" s="7">
        <v>25990</v>
      </c>
      <c r="I83" s="7">
        <v>51980</v>
      </c>
      <c r="J83" s="5" t="s">
        <v>22</v>
      </c>
      <c r="K83" t="str">
        <f t="shared" si="3"/>
        <v>Nov</v>
      </c>
      <c r="L83">
        <f t="shared" si="4"/>
        <v>2024</v>
      </c>
      <c r="M83" t="str">
        <f t="shared" si="5"/>
        <v>High</v>
      </c>
    </row>
    <row r="84" spans="1:13" x14ac:dyDescent="0.3">
      <c r="A84" s="2" t="s">
        <v>110</v>
      </c>
      <c r="B84" s="3" t="s">
        <v>111</v>
      </c>
      <c r="C84" s="2" t="s">
        <v>249</v>
      </c>
      <c r="D84" s="2" t="s">
        <v>42</v>
      </c>
      <c r="E84" s="2" t="s">
        <v>14</v>
      </c>
      <c r="F84" s="2" t="s">
        <v>250</v>
      </c>
      <c r="G84" s="3">
        <v>4</v>
      </c>
      <c r="H84" s="4">
        <v>500</v>
      </c>
      <c r="I84" s="4">
        <v>2000</v>
      </c>
      <c r="J84" s="2" t="s">
        <v>22</v>
      </c>
      <c r="K84" t="str">
        <f t="shared" si="3"/>
        <v>Jun</v>
      </c>
      <c r="L84">
        <f t="shared" si="4"/>
        <v>2024</v>
      </c>
      <c r="M84" t="str">
        <f t="shared" si="5"/>
        <v>Normal</v>
      </c>
    </row>
    <row r="85" spans="1:13" x14ac:dyDescent="0.3">
      <c r="A85" s="5" t="s">
        <v>251</v>
      </c>
      <c r="B85" s="6" t="s">
        <v>59</v>
      </c>
      <c r="C85" s="5" t="s">
        <v>252</v>
      </c>
      <c r="D85" s="5" t="s">
        <v>20</v>
      </c>
      <c r="E85" s="5" t="s">
        <v>48</v>
      </c>
      <c r="F85" s="5" t="s">
        <v>253</v>
      </c>
      <c r="G85" s="6">
        <v>1</v>
      </c>
      <c r="H85" s="7">
        <v>410</v>
      </c>
      <c r="I85" s="7">
        <v>410</v>
      </c>
      <c r="J85" s="5" t="s">
        <v>22</v>
      </c>
      <c r="K85" t="str">
        <f t="shared" si="3"/>
        <v>Jul</v>
      </c>
      <c r="L85">
        <f t="shared" si="4"/>
        <v>2024</v>
      </c>
      <c r="M85" t="str">
        <f t="shared" si="5"/>
        <v>Normal</v>
      </c>
    </row>
    <row r="86" spans="1:13" x14ac:dyDescent="0.3">
      <c r="A86" s="2" t="s">
        <v>62</v>
      </c>
      <c r="B86" s="3" t="s">
        <v>63</v>
      </c>
      <c r="C86" s="2" t="s">
        <v>181</v>
      </c>
      <c r="D86" s="2" t="s">
        <v>47</v>
      </c>
      <c r="E86" s="2" t="s">
        <v>33</v>
      </c>
      <c r="F86" s="2" t="s">
        <v>254</v>
      </c>
      <c r="G86" s="3">
        <v>5</v>
      </c>
      <c r="H86" s="4">
        <v>740</v>
      </c>
      <c r="I86" s="4">
        <v>3700</v>
      </c>
      <c r="J86" s="2" t="s">
        <v>22</v>
      </c>
      <c r="K86" t="str">
        <f t="shared" si="3"/>
        <v>Jun</v>
      </c>
      <c r="L86">
        <f t="shared" si="4"/>
        <v>2024</v>
      </c>
      <c r="M86" t="str">
        <f t="shared" si="5"/>
        <v>Normal</v>
      </c>
    </row>
    <row r="87" spans="1:13" x14ac:dyDescent="0.3">
      <c r="A87" s="5" t="s">
        <v>99</v>
      </c>
      <c r="B87" s="6" t="s">
        <v>100</v>
      </c>
      <c r="C87" s="5" t="s">
        <v>234</v>
      </c>
      <c r="D87" s="5" t="s">
        <v>42</v>
      </c>
      <c r="E87" s="5" t="s">
        <v>48</v>
      </c>
      <c r="F87" s="5" t="s">
        <v>255</v>
      </c>
      <c r="G87" s="6">
        <v>5</v>
      </c>
      <c r="H87" s="7">
        <v>360</v>
      </c>
      <c r="I87" s="7">
        <v>1800</v>
      </c>
      <c r="J87" s="5" t="s">
        <v>28</v>
      </c>
      <c r="K87" t="str">
        <f t="shared" si="3"/>
        <v>Apr</v>
      </c>
      <c r="L87">
        <f t="shared" si="4"/>
        <v>2024</v>
      </c>
      <c r="M87" t="str">
        <f t="shared" si="5"/>
        <v>Normal</v>
      </c>
    </row>
    <row r="88" spans="1:13" x14ac:dyDescent="0.3">
      <c r="A88" s="2" t="s">
        <v>76</v>
      </c>
      <c r="B88" s="3" t="s">
        <v>77</v>
      </c>
      <c r="C88" s="2" t="s">
        <v>12</v>
      </c>
      <c r="D88" s="2" t="s">
        <v>13</v>
      </c>
      <c r="E88" s="2" t="s">
        <v>33</v>
      </c>
      <c r="F88" s="2" t="s">
        <v>83</v>
      </c>
      <c r="G88" s="3">
        <v>5</v>
      </c>
      <c r="H88" s="4">
        <v>340</v>
      </c>
      <c r="I88" s="4">
        <v>1700</v>
      </c>
      <c r="J88" s="2" t="s">
        <v>22</v>
      </c>
      <c r="K88" t="str">
        <f t="shared" si="3"/>
        <v>Jan</v>
      </c>
      <c r="L88">
        <f t="shared" si="4"/>
        <v>2024</v>
      </c>
      <c r="M88" t="str">
        <f t="shared" si="5"/>
        <v>Normal</v>
      </c>
    </row>
    <row r="89" spans="1:13" x14ac:dyDescent="0.3">
      <c r="A89" s="5" t="s">
        <v>236</v>
      </c>
      <c r="B89" s="6" t="s">
        <v>237</v>
      </c>
      <c r="C89" s="5" t="s">
        <v>256</v>
      </c>
      <c r="D89" s="5" t="s">
        <v>13</v>
      </c>
      <c r="E89" s="5" t="s">
        <v>33</v>
      </c>
      <c r="F89" s="5" t="s">
        <v>257</v>
      </c>
      <c r="G89" s="6">
        <v>2</v>
      </c>
      <c r="H89" s="7">
        <v>650</v>
      </c>
      <c r="I89" s="7">
        <v>1300</v>
      </c>
      <c r="J89" s="5" t="s">
        <v>22</v>
      </c>
      <c r="K89" t="str">
        <f t="shared" si="3"/>
        <v>Oct</v>
      </c>
      <c r="L89">
        <f t="shared" si="4"/>
        <v>2024</v>
      </c>
      <c r="M89" t="str">
        <f t="shared" si="5"/>
        <v>Normal</v>
      </c>
    </row>
    <row r="90" spans="1:13" x14ac:dyDescent="0.3">
      <c r="A90" s="2" t="s">
        <v>84</v>
      </c>
      <c r="B90" s="3" t="s">
        <v>85</v>
      </c>
      <c r="C90" s="2" t="s">
        <v>82</v>
      </c>
      <c r="D90" s="2" t="s">
        <v>74</v>
      </c>
      <c r="E90" s="2" t="s">
        <v>33</v>
      </c>
      <c r="F90" s="2" t="s">
        <v>258</v>
      </c>
      <c r="G90" s="3">
        <v>4</v>
      </c>
      <c r="H90" s="4">
        <v>1350</v>
      </c>
      <c r="I90" s="4">
        <v>5400</v>
      </c>
      <c r="J90" s="2" t="s">
        <v>22</v>
      </c>
      <c r="K90" t="str">
        <f t="shared" si="3"/>
        <v>May</v>
      </c>
      <c r="L90">
        <f t="shared" si="4"/>
        <v>2024</v>
      </c>
      <c r="M90" t="str">
        <f t="shared" si="5"/>
        <v>Normal</v>
      </c>
    </row>
    <row r="91" spans="1:13" x14ac:dyDescent="0.3">
      <c r="A91" s="5" t="s">
        <v>166</v>
      </c>
      <c r="B91" s="6" t="s">
        <v>73</v>
      </c>
      <c r="C91" s="5" t="s">
        <v>46</v>
      </c>
      <c r="D91" s="5" t="s">
        <v>47</v>
      </c>
      <c r="E91" s="5" t="s">
        <v>14</v>
      </c>
      <c r="F91" s="5" t="s">
        <v>259</v>
      </c>
      <c r="G91" s="6">
        <v>4</v>
      </c>
      <c r="H91" s="7">
        <v>940</v>
      </c>
      <c r="I91" s="7">
        <v>3760</v>
      </c>
      <c r="J91" s="5" t="s">
        <v>28</v>
      </c>
      <c r="K91" t="str">
        <f t="shared" si="3"/>
        <v>Feb</v>
      </c>
      <c r="L91">
        <f t="shared" si="4"/>
        <v>2024</v>
      </c>
      <c r="M91" t="str">
        <f t="shared" si="5"/>
        <v>Normal</v>
      </c>
    </row>
    <row r="92" spans="1:13" x14ac:dyDescent="0.3">
      <c r="A92" s="2" t="s">
        <v>203</v>
      </c>
      <c r="B92" s="3" t="s">
        <v>204</v>
      </c>
      <c r="C92" s="2" t="s">
        <v>177</v>
      </c>
      <c r="D92" s="2" t="s">
        <v>47</v>
      </c>
      <c r="E92" s="2" t="s">
        <v>14</v>
      </c>
      <c r="F92" s="2" t="s">
        <v>255</v>
      </c>
      <c r="G92" s="3">
        <v>5</v>
      </c>
      <c r="H92" s="4">
        <v>1970</v>
      </c>
      <c r="I92" s="4">
        <v>9850</v>
      </c>
      <c r="J92" s="2" t="s">
        <v>28</v>
      </c>
      <c r="K92" t="str">
        <f t="shared" si="3"/>
        <v>Apr</v>
      </c>
      <c r="L92">
        <f t="shared" si="4"/>
        <v>2024</v>
      </c>
      <c r="M92" t="str">
        <f t="shared" si="5"/>
        <v>Normal</v>
      </c>
    </row>
    <row r="93" spans="1:13" x14ac:dyDescent="0.3">
      <c r="A93" s="5" t="s">
        <v>179</v>
      </c>
      <c r="B93" s="6" t="s">
        <v>180</v>
      </c>
      <c r="C93" s="5" t="s">
        <v>260</v>
      </c>
      <c r="D93" s="5" t="s">
        <v>32</v>
      </c>
      <c r="E93" s="5" t="s">
        <v>26</v>
      </c>
      <c r="F93" s="5" t="s">
        <v>261</v>
      </c>
      <c r="G93" s="6">
        <v>3</v>
      </c>
      <c r="H93" s="7">
        <v>17730</v>
      </c>
      <c r="I93" s="7">
        <v>53190</v>
      </c>
      <c r="J93" s="5" t="s">
        <v>28</v>
      </c>
      <c r="K93" t="str">
        <f t="shared" si="3"/>
        <v>Oct</v>
      </c>
      <c r="L93">
        <f t="shared" si="4"/>
        <v>2024</v>
      </c>
      <c r="M93" t="str">
        <f t="shared" si="5"/>
        <v>High</v>
      </c>
    </row>
    <row r="94" spans="1:13" x14ac:dyDescent="0.3">
      <c r="A94" s="2" t="s">
        <v>99</v>
      </c>
      <c r="B94" s="3" t="s">
        <v>100</v>
      </c>
      <c r="C94" s="2" t="s">
        <v>86</v>
      </c>
      <c r="D94" s="2" t="s">
        <v>74</v>
      </c>
      <c r="E94" s="2" t="s">
        <v>48</v>
      </c>
      <c r="F94" s="2" t="s">
        <v>262</v>
      </c>
      <c r="G94" s="3">
        <v>3</v>
      </c>
      <c r="H94" s="4">
        <v>620</v>
      </c>
      <c r="I94" s="4">
        <v>1860</v>
      </c>
      <c r="J94" s="2" t="s">
        <v>28</v>
      </c>
      <c r="K94" t="str">
        <f t="shared" si="3"/>
        <v>Sep</v>
      </c>
      <c r="L94">
        <f t="shared" si="4"/>
        <v>2024</v>
      </c>
      <c r="M94" t="str">
        <f t="shared" si="5"/>
        <v>Normal</v>
      </c>
    </row>
    <row r="95" spans="1:13" x14ac:dyDescent="0.3">
      <c r="A95" s="5" t="s">
        <v>263</v>
      </c>
      <c r="B95" s="6" t="s">
        <v>264</v>
      </c>
      <c r="C95" s="5" t="s">
        <v>128</v>
      </c>
      <c r="D95" s="5" t="s">
        <v>42</v>
      </c>
      <c r="E95" s="5" t="s">
        <v>26</v>
      </c>
      <c r="F95" s="5" t="s">
        <v>265</v>
      </c>
      <c r="G95" s="6">
        <v>3</v>
      </c>
      <c r="H95" s="7">
        <v>270</v>
      </c>
      <c r="I95" s="7">
        <v>810</v>
      </c>
      <c r="J95" s="5" t="s">
        <v>22</v>
      </c>
      <c r="K95" t="str">
        <f t="shared" si="3"/>
        <v>Nov</v>
      </c>
      <c r="L95">
        <f t="shared" si="4"/>
        <v>2024</v>
      </c>
      <c r="M95" t="str">
        <f t="shared" si="5"/>
        <v>Normal</v>
      </c>
    </row>
    <row r="96" spans="1:13" x14ac:dyDescent="0.3">
      <c r="A96" s="2" t="s">
        <v>266</v>
      </c>
      <c r="B96" s="3" t="s">
        <v>267</v>
      </c>
      <c r="C96" s="2" t="s">
        <v>173</v>
      </c>
      <c r="D96" s="2" t="s">
        <v>53</v>
      </c>
      <c r="E96" s="2" t="s">
        <v>33</v>
      </c>
      <c r="F96" s="2" t="s">
        <v>268</v>
      </c>
      <c r="G96" s="3">
        <v>3</v>
      </c>
      <c r="H96" s="4">
        <v>770</v>
      </c>
      <c r="I96" s="4">
        <v>2310</v>
      </c>
      <c r="J96" s="2" t="s">
        <v>22</v>
      </c>
      <c r="K96" t="str">
        <f t="shared" si="3"/>
        <v>Oct</v>
      </c>
      <c r="L96">
        <f t="shared" si="4"/>
        <v>2024</v>
      </c>
      <c r="M96" t="str">
        <f t="shared" si="5"/>
        <v>Normal</v>
      </c>
    </row>
    <row r="97" spans="1:13" x14ac:dyDescent="0.3">
      <c r="A97" s="5" t="s">
        <v>39</v>
      </c>
      <c r="B97" s="6" t="s">
        <v>40</v>
      </c>
      <c r="C97" s="5" t="s">
        <v>64</v>
      </c>
      <c r="D97" s="5" t="s">
        <v>42</v>
      </c>
      <c r="E97" s="5" t="s">
        <v>48</v>
      </c>
      <c r="F97" s="5" t="s">
        <v>269</v>
      </c>
      <c r="G97" s="6">
        <v>2</v>
      </c>
      <c r="H97" s="7">
        <v>220</v>
      </c>
      <c r="I97" s="7">
        <v>440</v>
      </c>
      <c r="J97" s="5" t="s">
        <v>16</v>
      </c>
      <c r="K97" t="str">
        <f t="shared" si="3"/>
        <v>Oct</v>
      </c>
      <c r="L97">
        <f t="shared" si="4"/>
        <v>2024</v>
      </c>
      <c r="M97" t="str">
        <f t="shared" si="5"/>
        <v>Normal</v>
      </c>
    </row>
    <row r="98" spans="1:13" x14ac:dyDescent="0.3">
      <c r="A98" s="2" t="s">
        <v>191</v>
      </c>
      <c r="B98" s="3" t="s">
        <v>192</v>
      </c>
      <c r="C98" s="2" t="s">
        <v>270</v>
      </c>
      <c r="D98" s="2" t="s">
        <v>32</v>
      </c>
      <c r="E98" s="2" t="s">
        <v>33</v>
      </c>
      <c r="F98" s="2" t="s">
        <v>271</v>
      </c>
      <c r="G98" s="3">
        <v>3</v>
      </c>
      <c r="H98" s="4">
        <v>1260</v>
      </c>
      <c r="I98" s="4">
        <v>3780</v>
      </c>
      <c r="J98" s="2" t="s">
        <v>22</v>
      </c>
      <c r="K98" t="str">
        <f t="shared" si="3"/>
        <v>Jun</v>
      </c>
      <c r="L98">
        <f t="shared" si="4"/>
        <v>2024</v>
      </c>
      <c r="M98" t="str">
        <f t="shared" si="5"/>
        <v>Normal</v>
      </c>
    </row>
    <row r="99" spans="1:13" x14ac:dyDescent="0.3">
      <c r="A99" s="5" t="s">
        <v>58</v>
      </c>
      <c r="B99" s="6" t="s">
        <v>59</v>
      </c>
      <c r="C99" s="5" t="s">
        <v>82</v>
      </c>
      <c r="D99" s="5" t="s">
        <v>74</v>
      </c>
      <c r="E99" s="5" t="s">
        <v>33</v>
      </c>
      <c r="F99" s="5" t="s">
        <v>272</v>
      </c>
      <c r="G99" s="6">
        <v>4</v>
      </c>
      <c r="H99" s="7">
        <v>1240</v>
      </c>
      <c r="I99" s="7">
        <v>4960</v>
      </c>
      <c r="J99" s="5" t="s">
        <v>28</v>
      </c>
      <c r="K99" t="str">
        <f t="shared" si="3"/>
        <v>Oct</v>
      </c>
      <c r="L99">
        <f t="shared" si="4"/>
        <v>2024</v>
      </c>
      <c r="M99" t="str">
        <f t="shared" si="5"/>
        <v>Normal</v>
      </c>
    </row>
    <row r="100" spans="1:13" x14ac:dyDescent="0.3">
      <c r="A100" s="2" t="s">
        <v>266</v>
      </c>
      <c r="B100" s="3" t="s">
        <v>267</v>
      </c>
      <c r="C100" s="2" t="s">
        <v>238</v>
      </c>
      <c r="D100" s="2" t="s">
        <v>13</v>
      </c>
      <c r="E100" s="2" t="s">
        <v>33</v>
      </c>
      <c r="F100" s="2" t="s">
        <v>273</v>
      </c>
      <c r="G100" s="3">
        <v>4</v>
      </c>
      <c r="H100" s="4">
        <v>50</v>
      </c>
      <c r="I100" s="4">
        <v>200</v>
      </c>
      <c r="J100" s="2" t="s">
        <v>16</v>
      </c>
      <c r="K100" t="str">
        <f t="shared" si="3"/>
        <v>Sep</v>
      </c>
      <c r="L100">
        <f t="shared" si="4"/>
        <v>2024</v>
      </c>
      <c r="M100" t="str">
        <f t="shared" si="5"/>
        <v>Normal</v>
      </c>
    </row>
    <row r="101" spans="1:13" x14ac:dyDescent="0.3">
      <c r="A101" s="5" t="s">
        <v>92</v>
      </c>
      <c r="B101" s="6" t="s">
        <v>93</v>
      </c>
      <c r="C101" s="5" t="s">
        <v>200</v>
      </c>
      <c r="D101" s="5" t="s">
        <v>74</v>
      </c>
      <c r="E101" s="5" t="s">
        <v>48</v>
      </c>
      <c r="F101" s="5" t="s">
        <v>274</v>
      </c>
      <c r="G101" s="6">
        <v>5</v>
      </c>
      <c r="H101" s="7">
        <v>410</v>
      </c>
      <c r="I101" s="7">
        <v>2050</v>
      </c>
      <c r="J101" s="5" t="s">
        <v>16</v>
      </c>
      <c r="K101" t="str">
        <f t="shared" si="3"/>
        <v>Jul</v>
      </c>
      <c r="L101">
        <f t="shared" si="4"/>
        <v>2024</v>
      </c>
      <c r="M101" t="str">
        <f t="shared" si="5"/>
        <v>Normal</v>
      </c>
    </row>
    <row r="102" spans="1:13" x14ac:dyDescent="0.3">
      <c r="A102" s="2" t="s">
        <v>76</v>
      </c>
      <c r="B102" s="3" t="s">
        <v>77</v>
      </c>
      <c r="C102" s="2" t="s">
        <v>275</v>
      </c>
      <c r="D102" s="2" t="s">
        <v>20</v>
      </c>
      <c r="E102" s="2" t="s">
        <v>26</v>
      </c>
      <c r="F102" s="2" t="s">
        <v>276</v>
      </c>
      <c r="G102" s="3">
        <v>5</v>
      </c>
      <c r="H102" s="4">
        <v>330</v>
      </c>
      <c r="I102" s="4">
        <v>1650</v>
      </c>
      <c r="J102" s="2" t="s">
        <v>28</v>
      </c>
      <c r="K102" t="str">
        <f t="shared" si="3"/>
        <v>Mar</v>
      </c>
      <c r="L102">
        <f t="shared" si="4"/>
        <v>2024</v>
      </c>
      <c r="M102" t="str">
        <f t="shared" si="5"/>
        <v>Normal</v>
      </c>
    </row>
    <row r="103" spans="1:13" x14ac:dyDescent="0.3">
      <c r="A103" s="5" t="s">
        <v>191</v>
      </c>
      <c r="B103" s="6" t="s">
        <v>192</v>
      </c>
      <c r="C103" s="5" t="s">
        <v>260</v>
      </c>
      <c r="D103" s="5" t="s">
        <v>32</v>
      </c>
      <c r="E103" s="5" t="s">
        <v>14</v>
      </c>
      <c r="F103" s="5" t="s">
        <v>34</v>
      </c>
      <c r="G103" s="6">
        <v>5</v>
      </c>
      <c r="H103" s="7">
        <v>20800</v>
      </c>
      <c r="I103" s="7">
        <v>104000</v>
      </c>
      <c r="J103" s="5" t="s">
        <v>28</v>
      </c>
      <c r="K103" t="str">
        <f t="shared" si="3"/>
        <v>May</v>
      </c>
      <c r="L103">
        <f t="shared" si="4"/>
        <v>2024</v>
      </c>
      <c r="M103" t="str">
        <f t="shared" si="5"/>
        <v>High</v>
      </c>
    </row>
    <row r="104" spans="1:13" x14ac:dyDescent="0.3">
      <c r="A104" s="2" t="s">
        <v>277</v>
      </c>
      <c r="B104" s="3" t="s">
        <v>278</v>
      </c>
      <c r="C104" s="2" t="s">
        <v>70</v>
      </c>
      <c r="D104" s="2" t="s">
        <v>32</v>
      </c>
      <c r="E104" s="2" t="s">
        <v>33</v>
      </c>
      <c r="F104" s="2" t="s">
        <v>75</v>
      </c>
      <c r="G104" s="3">
        <v>1</v>
      </c>
      <c r="H104" s="4">
        <v>2300</v>
      </c>
      <c r="I104" s="4">
        <v>2300</v>
      </c>
      <c r="J104" s="2" t="s">
        <v>16</v>
      </c>
      <c r="K104" t="str">
        <f t="shared" si="3"/>
        <v>Aug</v>
      </c>
      <c r="L104">
        <f t="shared" si="4"/>
        <v>2024</v>
      </c>
      <c r="M104" t="str">
        <f t="shared" si="5"/>
        <v>Normal</v>
      </c>
    </row>
    <row r="105" spans="1:13" x14ac:dyDescent="0.3">
      <c r="A105" s="5" t="s">
        <v>135</v>
      </c>
      <c r="B105" s="6" t="s">
        <v>136</v>
      </c>
      <c r="C105" s="5" t="s">
        <v>86</v>
      </c>
      <c r="D105" s="5" t="s">
        <v>74</v>
      </c>
      <c r="E105" s="5" t="s">
        <v>48</v>
      </c>
      <c r="F105" s="5" t="s">
        <v>199</v>
      </c>
      <c r="G105" s="6">
        <v>3</v>
      </c>
      <c r="H105" s="7">
        <v>600</v>
      </c>
      <c r="I105" s="7">
        <v>1800</v>
      </c>
      <c r="J105" s="5" t="s">
        <v>28</v>
      </c>
      <c r="K105" t="str">
        <f t="shared" si="3"/>
        <v>Jul</v>
      </c>
      <c r="L105">
        <f t="shared" si="4"/>
        <v>2024</v>
      </c>
      <c r="M105" t="str">
        <f t="shared" si="5"/>
        <v>Normal</v>
      </c>
    </row>
    <row r="106" spans="1:13" x14ac:dyDescent="0.3">
      <c r="A106" s="2" t="s">
        <v>50</v>
      </c>
      <c r="B106" s="3" t="s">
        <v>51</v>
      </c>
      <c r="C106" s="2" t="s">
        <v>68</v>
      </c>
      <c r="D106" s="2" t="s">
        <v>74</v>
      </c>
      <c r="E106" s="2" t="s">
        <v>14</v>
      </c>
      <c r="F106" s="2" t="s">
        <v>279</v>
      </c>
      <c r="G106" s="3">
        <v>5</v>
      </c>
      <c r="H106" s="4">
        <v>290</v>
      </c>
      <c r="I106" s="4">
        <v>1450</v>
      </c>
      <c r="J106" s="2" t="s">
        <v>22</v>
      </c>
      <c r="K106" t="str">
        <f t="shared" si="3"/>
        <v>Sep</v>
      </c>
      <c r="L106">
        <f t="shared" si="4"/>
        <v>2024</v>
      </c>
      <c r="M106" t="str">
        <f t="shared" si="5"/>
        <v>Normal</v>
      </c>
    </row>
    <row r="107" spans="1:13" x14ac:dyDescent="0.3">
      <c r="A107" s="5" t="s">
        <v>209</v>
      </c>
      <c r="B107" s="6" t="s">
        <v>210</v>
      </c>
      <c r="C107" s="5" t="s">
        <v>139</v>
      </c>
      <c r="D107" s="5" t="s">
        <v>20</v>
      </c>
      <c r="E107" s="5" t="s">
        <v>33</v>
      </c>
      <c r="F107" s="5" t="s">
        <v>140</v>
      </c>
      <c r="G107" s="6">
        <v>5</v>
      </c>
      <c r="H107" s="7">
        <v>390</v>
      </c>
      <c r="I107" s="7">
        <v>1950</v>
      </c>
      <c r="J107" s="5" t="s">
        <v>28</v>
      </c>
      <c r="K107" t="str">
        <f t="shared" si="3"/>
        <v>May</v>
      </c>
      <c r="L107">
        <f t="shared" si="4"/>
        <v>2024</v>
      </c>
      <c r="M107" t="str">
        <f t="shared" si="5"/>
        <v>Normal</v>
      </c>
    </row>
    <row r="108" spans="1:13" x14ac:dyDescent="0.3">
      <c r="A108" s="2" t="s">
        <v>222</v>
      </c>
      <c r="B108" s="3" t="s">
        <v>223</v>
      </c>
      <c r="C108" s="2" t="s">
        <v>252</v>
      </c>
      <c r="D108" s="2" t="s">
        <v>20</v>
      </c>
      <c r="E108" s="2" t="s">
        <v>48</v>
      </c>
      <c r="F108" s="2" t="s">
        <v>280</v>
      </c>
      <c r="G108" s="3">
        <v>4</v>
      </c>
      <c r="H108" s="4">
        <v>480</v>
      </c>
      <c r="I108" s="4">
        <v>1920</v>
      </c>
      <c r="J108" s="2" t="s">
        <v>28</v>
      </c>
      <c r="K108" t="str">
        <f t="shared" si="3"/>
        <v>Oct</v>
      </c>
      <c r="L108">
        <f t="shared" si="4"/>
        <v>2024</v>
      </c>
      <c r="M108" t="str">
        <f t="shared" si="5"/>
        <v>Normal</v>
      </c>
    </row>
    <row r="109" spans="1:13" x14ac:dyDescent="0.3">
      <c r="A109" s="5" t="s">
        <v>58</v>
      </c>
      <c r="B109" s="6" t="s">
        <v>59</v>
      </c>
      <c r="C109" s="5" t="s">
        <v>234</v>
      </c>
      <c r="D109" s="5" t="s">
        <v>42</v>
      </c>
      <c r="E109" s="5" t="s">
        <v>14</v>
      </c>
      <c r="F109" s="5" t="s">
        <v>281</v>
      </c>
      <c r="G109" s="6">
        <v>3</v>
      </c>
      <c r="H109" s="7">
        <v>350</v>
      </c>
      <c r="I109" s="7">
        <v>1050</v>
      </c>
      <c r="J109" s="5" t="s">
        <v>16</v>
      </c>
      <c r="K109" t="str">
        <f t="shared" si="3"/>
        <v>Apr</v>
      </c>
      <c r="L109">
        <f t="shared" si="4"/>
        <v>2024</v>
      </c>
      <c r="M109" t="str">
        <f t="shared" si="5"/>
        <v>Normal</v>
      </c>
    </row>
    <row r="110" spans="1:13" x14ac:dyDescent="0.3">
      <c r="A110" s="2" t="s">
        <v>197</v>
      </c>
      <c r="B110" s="3" t="s">
        <v>198</v>
      </c>
      <c r="C110" s="2" t="s">
        <v>167</v>
      </c>
      <c r="D110" s="2" t="s">
        <v>53</v>
      </c>
      <c r="E110" s="2" t="s">
        <v>48</v>
      </c>
      <c r="F110" s="2" t="s">
        <v>282</v>
      </c>
      <c r="G110" s="3">
        <v>4</v>
      </c>
      <c r="H110" s="4">
        <v>540</v>
      </c>
      <c r="I110" s="4">
        <v>2160</v>
      </c>
      <c r="J110" s="2" t="s">
        <v>28</v>
      </c>
      <c r="K110" t="str">
        <f t="shared" si="3"/>
        <v>Dec</v>
      </c>
      <c r="L110">
        <f t="shared" si="4"/>
        <v>2024</v>
      </c>
      <c r="M110" t="str">
        <f t="shared" si="5"/>
        <v>Normal</v>
      </c>
    </row>
    <row r="111" spans="1:13" x14ac:dyDescent="0.3">
      <c r="A111" s="5" t="s">
        <v>135</v>
      </c>
      <c r="B111" s="6" t="s">
        <v>136</v>
      </c>
      <c r="C111" s="5" t="s">
        <v>141</v>
      </c>
      <c r="D111" s="5" t="s">
        <v>74</v>
      </c>
      <c r="E111" s="5" t="s">
        <v>33</v>
      </c>
      <c r="F111" s="5" t="s">
        <v>243</v>
      </c>
      <c r="G111" s="6">
        <v>5</v>
      </c>
      <c r="H111" s="7">
        <v>1760</v>
      </c>
      <c r="I111" s="7">
        <v>8800</v>
      </c>
      <c r="J111" s="5" t="s">
        <v>28</v>
      </c>
      <c r="K111" t="str">
        <f t="shared" si="3"/>
        <v>Jun</v>
      </c>
      <c r="L111">
        <f t="shared" si="4"/>
        <v>2024</v>
      </c>
      <c r="M111" t="str">
        <f t="shared" si="5"/>
        <v>Normal</v>
      </c>
    </row>
    <row r="112" spans="1:13" x14ac:dyDescent="0.3">
      <c r="A112" s="2" t="s">
        <v>66</v>
      </c>
      <c r="B112" s="3" t="s">
        <v>67</v>
      </c>
      <c r="C112" s="2" t="s">
        <v>64</v>
      </c>
      <c r="D112" s="2" t="s">
        <v>42</v>
      </c>
      <c r="E112" s="2" t="s">
        <v>14</v>
      </c>
      <c r="F112" s="2" t="s">
        <v>283</v>
      </c>
      <c r="G112" s="3">
        <v>2</v>
      </c>
      <c r="H112" s="4">
        <v>180</v>
      </c>
      <c r="I112" s="4">
        <v>360</v>
      </c>
      <c r="J112" s="2" t="s">
        <v>22</v>
      </c>
      <c r="K112" t="str">
        <f t="shared" si="3"/>
        <v>Jul</v>
      </c>
      <c r="L112">
        <f t="shared" si="4"/>
        <v>2024</v>
      </c>
      <c r="M112" t="str">
        <f t="shared" si="5"/>
        <v>Normal</v>
      </c>
    </row>
    <row r="113" spans="1:13" x14ac:dyDescent="0.3">
      <c r="A113" s="5" t="s">
        <v>39</v>
      </c>
      <c r="B113" s="6" t="s">
        <v>40</v>
      </c>
      <c r="C113" s="5" t="s">
        <v>19</v>
      </c>
      <c r="D113" s="5" t="s">
        <v>20</v>
      </c>
      <c r="E113" s="5" t="s">
        <v>33</v>
      </c>
      <c r="F113" s="5" t="s">
        <v>284</v>
      </c>
      <c r="G113" s="6">
        <v>4</v>
      </c>
      <c r="H113" s="7">
        <v>770</v>
      </c>
      <c r="I113" s="7">
        <v>3080</v>
      </c>
      <c r="J113" s="5" t="s">
        <v>28</v>
      </c>
      <c r="K113" t="str">
        <f t="shared" si="3"/>
        <v>Nov</v>
      </c>
      <c r="L113">
        <f t="shared" si="4"/>
        <v>2024</v>
      </c>
      <c r="M113" t="str">
        <f t="shared" si="5"/>
        <v>Normal</v>
      </c>
    </row>
    <row r="114" spans="1:13" x14ac:dyDescent="0.3">
      <c r="A114" s="2" t="s">
        <v>72</v>
      </c>
      <c r="B114" s="3" t="s">
        <v>73</v>
      </c>
      <c r="C114" s="2" t="s">
        <v>226</v>
      </c>
      <c r="D114" s="2" t="s">
        <v>74</v>
      </c>
      <c r="E114" s="2" t="s">
        <v>33</v>
      </c>
      <c r="F114" s="2" t="s">
        <v>285</v>
      </c>
      <c r="G114" s="3">
        <v>4</v>
      </c>
      <c r="H114" s="4">
        <v>1020</v>
      </c>
      <c r="I114" s="4">
        <v>4080</v>
      </c>
      <c r="J114" s="2" t="s">
        <v>16</v>
      </c>
      <c r="K114" t="str">
        <f t="shared" si="3"/>
        <v>Oct</v>
      </c>
      <c r="L114">
        <f t="shared" si="4"/>
        <v>2024</v>
      </c>
      <c r="M114" t="str">
        <f t="shared" si="5"/>
        <v>Normal</v>
      </c>
    </row>
    <row r="115" spans="1:13" x14ac:dyDescent="0.3">
      <c r="A115" s="5" t="s">
        <v>147</v>
      </c>
      <c r="B115" s="6" t="s">
        <v>148</v>
      </c>
      <c r="C115" s="5" t="s">
        <v>286</v>
      </c>
      <c r="D115" s="5" t="s">
        <v>53</v>
      </c>
      <c r="E115" s="5" t="s">
        <v>33</v>
      </c>
      <c r="F115" s="5" t="s">
        <v>287</v>
      </c>
      <c r="G115" s="6">
        <v>1</v>
      </c>
      <c r="H115" s="7">
        <v>2750</v>
      </c>
      <c r="I115" s="7">
        <v>2750</v>
      </c>
      <c r="J115" s="5" t="s">
        <v>16</v>
      </c>
      <c r="K115" t="str">
        <f t="shared" si="3"/>
        <v>Aug</v>
      </c>
      <c r="L115">
        <f t="shared" si="4"/>
        <v>2024</v>
      </c>
      <c r="M115" t="str">
        <f t="shared" si="5"/>
        <v>Normal</v>
      </c>
    </row>
    <row r="116" spans="1:13" x14ac:dyDescent="0.3">
      <c r="A116" s="2" t="s">
        <v>66</v>
      </c>
      <c r="B116" s="3" t="s">
        <v>67</v>
      </c>
      <c r="C116" s="2" t="s">
        <v>68</v>
      </c>
      <c r="D116" s="2" t="s">
        <v>74</v>
      </c>
      <c r="E116" s="2" t="s">
        <v>26</v>
      </c>
      <c r="F116" s="2" t="s">
        <v>288</v>
      </c>
      <c r="G116" s="3">
        <v>1</v>
      </c>
      <c r="H116" s="4">
        <v>310</v>
      </c>
      <c r="I116" s="4">
        <v>310</v>
      </c>
      <c r="J116" s="2" t="s">
        <v>22</v>
      </c>
      <c r="K116" t="str">
        <f t="shared" si="3"/>
        <v>Jan</v>
      </c>
      <c r="L116">
        <f t="shared" si="4"/>
        <v>2024</v>
      </c>
      <c r="M116" t="str">
        <f t="shared" si="5"/>
        <v>Normal</v>
      </c>
    </row>
    <row r="117" spans="1:13" x14ac:dyDescent="0.3">
      <c r="A117" s="5" t="s">
        <v>289</v>
      </c>
      <c r="B117" s="6" t="s">
        <v>161</v>
      </c>
      <c r="C117" s="5" t="s">
        <v>153</v>
      </c>
      <c r="D117" s="5" t="s">
        <v>13</v>
      </c>
      <c r="E117" s="5" t="s">
        <v>48</v>
      </c>
      <c r="F117" s="5" t="s">
        <v>290</v>
      </c>
      <c r="G117" s="6">
        <v>2</v>
      </c>
      <c r="H117" s="7">
        <v>220</v>
      </c>
      <c r="I117" s="7">
        <v>440</v>
      </c>
      <c r="J117" s="5" t="s">
        <v>16</v>
      </c>
      <c r="K117" t="str">
        <f t="shared" si="3"/>
        <v>Sep</v>
      </c>
      <c r="L117">
        <f t="shared" si="4"/>
        <v>2024</v>
      </c>
      <c r="M117" t="str">
        <f t="shared" si="5"/>
        <v>Normal</v>
      </c>
    </row>
    <row r="118" spans="1:13" x14ac:dyDescent="0.3">
      <c r="A118" s="2" t="s">
        <v>291</v>
      </c>
      <c r="B118" s="3" t="s">
        <v>292</v>
      </c>
      <c r="C118" s="2" t="s">
        <v>137</v>
      </c>
      <c r="D118" s="2" t="s">
        <v>53</v>
      </c>
      <c r="E118" s="2" t="s">
        <v>14</v>
      </c>
      <c r="F118" s="2" t="s">
        <v>102</v>
      </c>
      <c r="G118" s="3">
        <v>4</v>
      </c>
      <c r="H118" s="4">
        <v>1650</v>
      </c>
      <c r="I118" s="4">
        <v>6600</v>
      </c>
      <c r="J118" s="2" t="s">
        <v>28</v>
      </c>
      <c r="K118" t="str">
        <f t="shared" si="3"/>
        <v>Nov</v>
      </c>
      <c r="L118">
        <f t="shared" si="4"/>
        <v>2024</v>
      </c>
      <c r="M118" t="str">
        <f t="shared" si="5"/>
        <v>Normal</v>
      </c>
    </row>
    <row r="119" spans="1:13" x14ac:dyDescent="0.3">
      <c r="A119" s="5" t="s">
        <v>103</v>
      </c>
      <c r="B119" s="6" t="s">
        <v>104</v>
      </c>
      <c r="C119" s="5" t="s">
        <v>133</v>
      </c>
      <c r="D119" s="5" t="s">
        <v>53</v>
      </c>
      <c r="E119" s="5" t="s">
        <v>26</v>
      </c>
      <c r="F119" s="5" t="s">
        <v>293</v>
      </c>
      <c r="G119" s="6">
        <v>3</v>
      </c>
      <c r="H119" s="7">
        <v>1490</v>
      </c>
      <c r="I119" s="7">
        <v>4470</v>
      </c>
      <c r="J119" s="5" t="s">
        <v>16</v>
      </c>
      <c r="K119" t="str">
        <f t="shared" si="3"/>
        <v>Aug</v>
      </c>
      <c r="L119">
        <f t="shared" si="4"/>
        <v>2024</v>
      </c>
      <c r="M119" t="str">
        <f t="shared" si="5"/>
        <v>Normal</v>
      </c>
    </row>
    <row r="120" spans="1:13" x14ac:dyDescent="0.3">
      <c r="A120" s="2" t="s">
        <v>110</v>
      </c>
      <c r="B120" s="3" t="s">
        <v>111</v>
      </c>
      <c r="C120" s="2" t="s">
        <v>252</v>
      </c>
      <c r="D120" s="2" t="s">
        <v>20</v>
      </c>
      <c r="E120" s="2" t="s">
        <v>33</v>
      </c>
      <c r="F120" s="2" t="s">
        <v>294</v>
      </c>
      <c r="G120" s="3">
        <v>5</v>
      </c>
      <c r="H120" s="4">
        <v>490</v>
      </c>
      <c r="I120" s="4">
        <v>2450</v>
      </c>
      <c r="J120" s="2" t="s">
        <v>28</v>
      </c>
      <c r="K120" t="str">
        <f t="shared" si="3"/>
        <v>Mar</v>
      </c>
      <c r="L120">
        <f t="shared" si="4"/>
        <v>2024</v>
      </c>
      <c r="M120" t="str">
        <f t="shared" si="5"/>
        <v>Normal</v>
      </c>
    </row>
    <row r="121" spans="1:13" x14ac:dyDescent="0.3">
      <c r="A121" s="5" t="s">
        <v>114</v>
      </c>
      <c r="B121" s="6" t="s">
        <v>115</v>
      </c>
      <c r="C121" s="5" t="s">
        <v>249</v>
      </c>
      <c r="D121" s="5" t="s">
        <v>42</v>
      </c>
      <c r="E121" s="5" t="s">
        <v>26</v>
      </c>
      <c r="F121" s="5" t="s">
        <v>295</v>
      </c>
      <c r="G121" s="6">
        <v>4</v>
      </c>
      <c r="H121" s="7">
        <v>510</v>
      </c>
      <c r="I121" s="7">
        <v>2040</v>
      </c>
      <c r="J121" s="5" t="s">
        <v>28</v>
      </c>
      <c r="K121" t="str">
        <f t="shared" si="3"/>
        <v>Dec</v>
      </c>
      <c r="L121">
        <f t="shared" si="4"/>
        <v>2024</v>
      </c>
      <c r="M121" t="str">
        <f t="shared" si="5"/>
        <v>Normal</v>
      </c>
    </row>
    <row r="122" spans="1:13" x14ac:dyDescent="0.3">
      <c r="A122" s="2" t="s">
        <v>222</v>
      </c>
      <c r="B122" s="3" t="s">
        <v>223</v>
      </c>
      <c r="C122" s="2" t="s">
        <v>167</v>
      </c>
      <c r="D122" s="2" t="s">
        <v>53</v>
      </c>
      <c r="E122" s="2" t="s">
        <v>48</v>
      </c>
      <c r="F122" s="2" t="s">
        <v>296</v>
      </c>
      <c r="G122" s="3">
        <v>1</v>
      </c>
      <c r="H122" s="4">
        <v>640</v>
      </c>
      <c r="I122" s="4">
        <v>640</v>
      </c>
      <c r="J122" s="2" t="s">
        <v>16</v>
      </c>
      <c r="K122" t="str">
        <f t="shared" si="3"/>
        <v>May</v>
      </c>
      <c r="L122">
        <f t="shared" si="4"/>
        <v>2024</v>
      </c>
      <c r="M122" t="str">
        <f t="shared" si="5"/>
        <v>Normal</v>
      </c>
    </row>
    <row r="123" spans="1:13" x14ac:dyDescent="0.3">
      <c r="A123" s="5" t="s">
        <v>131</v>
      </c>
      <c r="B123" s="6" t="s">
        <v>132</v>
      </c>
      <c r="C123" s="5" t="s">
        <v>249</v>
      </c>
      <c r="D123" s="5" t="s">
        <v>42</v>
      </c>
      <c r="E123" s="5" t="s">
        <v>48</v>
      </c>
      <c r="F123" s="5" t="s">
        <v>297</v>
      </c>
      <c r="G123" s="6">
        <v>3</v>
      </c>
      <c r="H123" s="7">
        <v>550</v>
      </c>
      <c r="I123" s="7">
        <v>1650</v>
      </c>
      <c r="J123" s="5" t="s">
        <v>28</v>
      </c>
      <c r="K123" t="str">
        <f t="shared" si="3"/>
        <v>Jan</v>
      </c>
      <c r="L123">
        <f t="shared" si="4"/>
        <v>2024</v>
      </c>
      <c r="M123" t="str">
        <f t="shared" si="5"/>
        <v>Normal</v>
      </c>
    </row>
    <row r="124" spans="1:13" x14ac:dyDescent="0.3">
      <c r="A124" s="2" t="s">
        <v>110</v>
      </c>
      <c r="B124" s="3" t="s">
        <v>111</v>
      </c>
      <c r="C124" s="2" t="s">
        <v>128</v>
      </c>
      <c r="D124" s="2" t="s">
        <v>42</v>
      </c>
      <c r="E124" s="2" t="s">
        <v>14</v>
      </c>
      <c r="F124" s="2" t="s">
        <v>87</v>
      </c>
      <c r="G124" s="3">
        <v>4</v>
      </c>
      <c r="H124" s="4">
        <v>270</v>
      </c>
      <c r="I124" s="4">
        <v>1080</v>
      </c>
      <c r="J124" s="2" t="s">
        <v>16</v>
      </c>
      <c r="K124" t="str">
        <f t="shared" si="3"/>
        <v>May</v>
      </c>
      <c r="L124">
        <f t="shared" si="4"/>
        <v>2024</v>
      </c>
      <c r="M124" t="str">
        <f t="shared" si="5"/>
        <v>Normal</v>
      </c>
    </row>
    <row r="125" spans="1:13" x14ac:dyDescent="0.3">
      <c r="A125" s="5" t="s">
        <v>131</v>
      </c>
      <c r="B125" s="6" t="s">
        <v>132</v>
      </c>
      <c r="C125" s="5" t="s">
        <v>133</v>
      </c>
      <c r="D125" s="5" t="s">
        <v>53</v>
      </c>
      <c r="E125" s="5" t="s">
        <v>33</v>
      </c>
      <c r="F125" s="5" t="s">
        <v>298</v>
      </c>
      <c r="G125" s="6">
        <v>2</v>
      </c>
      <c r="H125" s="7">
        <v>1540</v>
      </c>
      <c r="I125" s="7">
        <v>3080</v>
      </c>
      <c r="J125" s="5" t="s">
        <v>16</v>
      </c>
      <c r="K125" t="str">
        <f t="shared" si="3"/>
        <v>Nov</v>
      </c>
      <c r="L125">
        <f t="shared" si="4"/>
        <v>2024</v>
      </c>
      <c r="M125" t="str">
        <f t="shared" si="5"/>
        <v>Normal</v>
      </c>
    </row>
    <row r="126" spans="1:13" x14ac:dyDescent="0.3">
      <c r="A126" s="2" t="s">
        <v>123</v>
      </c>
      <c r="B126" s="3" t="s">
        <v>124</v>
      </c>
      <c r="C126" s="2" t="s">
        <v>299</v>
      </c>
      <c r="D126" s="2" t="s">
        <v>13</v>
      </c>
      <c r="E126" s="2" t="s">
        <v>33</v>
      </c>
      <c r="F126" s="2" t="s">
        <v>276</v>
      </c>
      <c r="G126" s="3">
        <v>3</v>
      </c>
      <c r="H126" s="4">
        <v>110</v>
      </c>
      <c r="I126" s="4">
        <v>330</v>
      </c>
      <c r="J126" s="2" t="s">
        <v>28</v>
      </c>
      <c r="K126" t="str">
        <f t="shared" si="3"/>
        <v>Mar</v>
      </c>
      <c r="L126">
        <f t="shared" si="4"/>
        <v>2024</v>
      </c>
      <c r="M126" t="str">
        <f t="shared" si="5"/>
        <v>Normal</v>
      </c>
    </row>
    <row r="127" spans="1:13" x14ac:dyDescent="0.3">
      <c r="A127" s="5" t="s">
        <v>300</v>
      </c>
      <c r="B127" s="6" t="s">
        <v>301</v>
      </c>
      <c r="C127" s="5" t="s">
        <v>68</v>
      </c>
      <c r="D127" s="5" t="s">
        <v>47</v>
      </c>
      <c r="E127" s="5" t="s">
        <v>26</v>
      </c>
      <c r="F127" s="5" t="s">
        <v>302</v>
      </c>
      <c r="G127" s="6">
        <v>2</v>
      </c>
      <c r="H127" s="7">
        <v>330</v>
      </c>
      <c r="I127" s="7">
        <v>660</v>
      </c>
      <c r="J127" s="5" t="s">
        <v>16</v>
      </c>
      <c r="K127" t="str">
        <f t="shared" si="3"/>
        <v>Oct</v>
      </c>
      <c r="L127">
        <f t="shared" si="4"/>
        <v>2024</v>
      </c>
      <c r="M127" t="str">
        <f t="shared" si="5"/>
        <v>Normal</v>
      </c>
    </row>
    <row r="128" spans="1:13" x14ac:dyDescent="0.3">
      <c r="A128" s="2" t="s">
        <v>303</v>
      </c>
      <c r="B128" s="3" t="s">
        <v>304</v>
      </c>
      <c r="C128" s="2" t="s">
        <v>149</v>
      </c>
      <c r="D128" s="2" t="s">
        <v>13</v>
      </c>
      <c r="E128" s="2" t="s">
        <v>26</v>
      </c>
      <c r="F128" s="2" t="s">
        <v>305</v>
      </c>
      <c r="G128" s="3">
        <v>4</v>
      </c>
      <c r="H128" s="4">
        <v>360</v>
      </c>
      <c r="I128" s="4">
        <v>1440</v>
      </c>
      <c r="J128" s="2" t="s">
        <v>22</v>
      </c>
      <c r="K128" t="str">
        <f t="shared" si="3"/>
        <v>May</v>
      </c>
      <c r="L128">
        <f t="shared" si="4"/>
        <v>2024</v>
      </c>
      <c r="M128" t="str">
        <f t="shared" si="5"/>
        <v>Normal</v>
      </c>
    </row>
    <row r="129" spans="1:13" x14ac:dyDescent="0.3">
      <c r="A129" s="5" t="s">
        <v>232</v>
      </c>
      <c r="B129" s="6" t="s">
        <v>233</v>
      </c>
      <c r="C129" s="5" t="s">
        <v>97</v>
      </c>
      <c r="D129" s="5" t="s">
        <v>32</v>
      </c>
      <c r="E129" s="5" t="s">
        <v>48</v>
      </c>
      <c r="F129" s="5" t="s">
        <v>306</v>
      </c>
      <c r="G129" s="6">
        <v>2</v>
      </c>
      <c r="H129" s="7">
        <v>3680</v>
      </c>
      <c r="I129" s="7">
        <v>7360</v>
      </c>
      <c r="J129" s="5" t="s">
        <v>16</v>
      </c>
      <c r="K129" t="str">
        <f t="shared" si="3"/>
        <v>Dec</v>
      </c>
      <c r="L129">
        <f t="shared" si="4"/>
        <v>2024</v>
      </c>
      <c r="M129" t="str">
        <f t="shared" si="5"/>
        <v>Normal</v>
      </c>
    </row>
    <row r="130" spans="1:13" x14ac:dyDescent="0.3">
      <c r="A130" s="2" t="s">
        <v>307</v>
      </c>
      <c r="B130" s="3" t="s">
        <v>161</v>
      </c>
      <c r="C130" s="2" t="s">
        <v>70</v>
      </c>
      <c r="D130" s="2" t="s">
        <v>32</v>
      </c>
      <c r="E130" s="2" t="s">
        <v>48</v>
      </c>
      <c r="F130" s="2" t="s">
        <v>308</v>
      </c>
      <c r="G130" s="3">
        <v>5</v>
      </c>
      <c r="H130" s="4">
        <v>2260</v>
      </c>
      <c r="I130" s="4">
        <v>11300</v>
      </c>
      <c r="J130" s="2" t="s">
        <v>28</v>
      </c>
      <c r="K130" t="str">
        <f t="shared" si="3"/>
        <v>Mar</v>
      </c>
      <c r="L130">
        <f t="shared" si="4"/>
        <v>2024</v>
      </c>
      <c r="M130" t="str">
        <f t="shared" si="5"/>
        <v>High</v>
      </c>
    </row>
    <row r="131" spans="1:13" x14ac:dyDescent="0.3">
      <c r="A131" s="5" t="s">
        <v>107</v>
      </c>
      <c r="B131" s="6" t="s">
        <v>108</v>
      </c>
      <c r="C131" s="5" t="s">
        <v>234</v>
      </c>
      <c r="D131" s="5" t="s">
        <v>42</v>
      </c>
      <c r="E131" s="5" t="s">
        <v>14</v>
      </c>
      <c r="F131" s="5" t="s">
        <v>309</v>
      </c>
      <c r="G131" s="6">
        <v>3</v>
      </c>
      <c r="H131" s="7">
        <v>370</v>
      </c>
      <c r="I131" s="7">
        <v>1110</v>
      </c>
      <c r="J131" s="5" t="s">
        <v>28</v>
      </c>
      <c r="K131" t="str">
        <f t="shared" ref="K131:K194" si="6">TEXT(F131,"mmm")</f>
        <v>Feb</v>
      </c>
      <c r="L131">
        <f t="shared" ref="L131:L194" si="7">YEAR(F131)</f>
        <v>2024</v>
      </c>
      <c r="M131" t="str">
        <f t="shared" ref="M131:M194" si="8">IF(I131&gt;10000,"High","Normal")</f>
        <v>Normal</v>
      </c>
    </row>
    <row r="132" spans="1:13" x14ac:dyDescent="0.3">
      <c r="A132" s="2" t="s">
        <v>219</v>
      </c>
      <c r="B132" s="3" t="s">
        <v>220</v>
      </c>
      <c r="C132" s="2" t="s">
        <v>105</v>
      </c>
      <c r="D132" s="2" t="s">
        <v>42</v>
      </c>
      <c r="E132" s="2" t="s">
        <v>33</v>
      </c>
      <c r="F132" s="2" t="s">
        <v>310</v>
      </c>
      <c r="G132" s="3">
        <v>2</v>
      </c>
      <c r="H132" s="4">
        <v>1410</v>
      </c>
      <c r="I132" s="4">
        <v>2820</v>
      </c>
      <c r="J132" s="2" t="s">
        <v>16</v>
      </c>
      <c r="K132" t="str">
        <f t="shared" si="6"/>
        <v>Nov</v>
      </c>
      <c r="L132">
        <f t="shared" si="7"/>
        <v>2024</v>
      </c>
      <c r="M132" t="str">
        <f t="shared" si="8"/>
        <v>Normal</v>
      </c>
    </row>
    <row r="133" spans="1:13" x14ac:dyDescent="0.3">
      <c r="A133" s="5" t="s">
        <v>232</v>
      </c>
      <c r="B133" s="6" t="s">
        <v>233</v>
      </c>
      <c r="C133" s="5" t="s">
        <v>46</v>
      </c>
      <c r="D133" s="5" t="s">
        <v>47</v>
      </c>
      <c r="E133" s="5" t="s">
        <v>33</v>
      </c>
      <c r="F133" s="5" t="s">
        <v>311</v>
      </c>
      <c r="G133" s="6">
        <v>1</v>
      </c>
      <c r="H133" s="7">
        <v>930</v>
      </c>
      <c r="I133" s="7">
        <v>930</v>
      </c>
      <c r="J133" s="5" t="s">
        <v>22</v>
      </c>
      <c r="K133" t="str">
        <f t="shared" si="6"/>
        <v>Mar</v>
      </c>
      <c r="L133">
        <f t="shared" si="7"/>
        <v>2024</v>
      </c>
      <c r="M133" t="str">
        <f t="shared" si="8"/>
        <v>Normal</v>
      </c>
    </row>
    <row r="134" spans="1:13" x14ac:dyDescent="0.3">
      <c r="A134" s="2" t="s">
        <v>222</v>
      </c>
      <c r="B134" s="3" t="s">
        <v>223</v>
      </c>
      <c r="C134" s="2" t="s">
        <v>112</v>
      </c>
      <c r="D134" s="2" t="s">
        <v>74</v>
      </c>
      <c r="E134" s="2" t="s">
        <v>48</v>
      </c>
      <c r="F134" s="2" t="s">
        <v>205</v>
      </c>
      <c r="G134" s="3">
        <v>5</v>
      </c>
      <c r="H134" s="4">
        <v>730</v>
      </c>
      <c r="I134" s="4">
        <v>3650</v>
      </c>
      <c r="J134" s="2" t="s">
        <v>28</v>
      </c>
      <c r="K134" t="str">
        <f t="shared" si="6"/>
        <v>Mar</v>
      </c>
      <c r="L134">
        <f t="shared" si="7"/>
        <v>2024</v>
      </c>
      <c r="M134" t="str">
        <f t="shared" si="8"/>
        <v>Normal</v>
      </c>
    </row>
    <row r="135" spans="1:13" x14ac:dyDescent="0.3">
      <c r="A135" s="5" t="s">
        <v>23</v>
      </c>
      <c r="B135" s="6" t="s">
        <v>24</v>
      </c>
      <c r="C135" s="5" t="s">
        <v>68</v>
      </c>
      <c r="D135" s="5" t="s">
        <v>47</v>
      </c>
      <c r="E135" s="5" t="s">
        <v>33</v>
      </c>
      <c r="F135" s="5" t="s">
        <v>199</v>
      </c>
      <c r="G135" s="6">
        <v>2</v>
      </c>
      <c r="H135" s="7">
        <v>360</v>
      </c>
      <c r="I135" s="7">
        <v>720</v>
      </c>
      <c r="J135" s="5" t="s">
        <v>28</v>
      </c>
      <c r="K135" t="str">
        <f t="shared" si="6"/>
        <v>Jul</v>
      </c>
      <c r="L135">
        <f t="shared" si="7"/>
        <v>2024</v>
      </c>
      <c r="M135" t="str">
        <f t="shared" si="8"/>
        <v>Normal</v>
      </c>
    </row>
    <row r="136" spans="1:13" x14ac:dyDescent="0.3">
      <c r="A136" s="2" t="s">
        <v>312</v>
      </c>
      <c r="B136" s="3" t="s">
        <v>313</v>
      </c>
      <c r="C136" s="2" t="s">
        <v>86</v>
      </c>
      <c r="D136" s="2" t="s">
        <v>74</v>
      </c>
      <c r="E136" s="2" t="s">
        <v>48</v>
      </c>
      <c r="F136" s="2" t="s">
        <v>91</v>
      </c>
      <c r="G136" s="3">
        <v>3</v>
      </c>
      <c r="H136" s="4">
        <v>540</v>
      </c>
      <c r="I136" s="4">
        <v>1620</v>
      </c>
      <c r="J136" s="2" t="s">
        <v>28</v>
      </c>
      <c r="K136" t="str">
        <f t="shared" si="6"/>
        <v>Apr</v>
      </c>
      <c r="L136">
        <f t="shared" si="7"/>
        <v>2024</v>
      </c>
      <c r="M136" t="str">
        <f t="shared" si="8"/>
        <v>Normal</v>
      </c>
    </row>
    <row r="137" spans="1:13" x14ac:dyDescent="0.3">
      <c r="A137" s="5" t="s">
        <v>314</v>
      </c>
      <c r="B137" s="6" t="s">
        <v>315</v>
      </c>
      <c r="C137" s="5" t="s">
        <v>316</v>
      </c>
      <c r="D137" s="5" t="s">
        <v>20</v>
      </c>
      <c r="E137" s="5" t="s">
        <v>26</v>
      </c>
      <c r="F137" s="5" t="s">
        <v>317</v>
      </c>
      <c r="G137" s="6">
        <v>3</v>
      </c>
      <c r="H137" s="7">
        <v>140</v>
      </c>
      <c r="I137" s="7">
        <v>420</v>
      </c>
      <c r="J137" s="5" t="s">
        <v>22</v>
      </c>
      <c r="K137" t="str">
        <f t="shared" si="6"/>
        <v>Oct</v>
      </c>
      <c r="L137">
        <f t="shared" si="7"/>
        <v>2024</v>
      </c>
      <c r="M137" t="str">
        <f t="shared" si="8"/>
        <v>Normal</v>
      </c>
    </row>
    <row r="138" spans="1:13" x14ac:dyDescent="0.3">
      <c r="A138" s="2" t="s">
        <v>318</v>
      </c>
      <c r="B138" s="3" t="s">
        <v>319</v>
      </c>
      <c r="C138" s="2" t="s">
        <v>248</v>
      </c>
      <c r="D138" s="2" t="s">
        <v>13</v>
      </c>
      <c r="E138" s="2" t="s">
        <v>14</v>
      </c>
      <c r="F138" s="2" t="s">
        <v>320</v>
      </c>
      <c r="G138" s="3">
        <v>4</v>
      </c>
      <c r="H138" s="4">
        <v>200</v>
      </c>
      <c r="I138" s="4">
        <v>800</v>
      </c>
      <c r="J138" s="2" t="s">
        <v>16</v>
      </c>
      <c r="K138" t="str">
        <f t="shared" si="6"/>
        <v>Feb</v>
      </c>
      <c r="L138">
        <f t="shared" si="7"/>
        <v>2024</v>
      </c>
      <c r="M138" t="str">
        <f t="shared" si="8"/>
        <v>Normal</v>
      </c>
    </row>
    <row r="139" spans="1:13" x14ac:dyDescent="0.3">
      <c r="A139" s="5" t="s">
        <v>321</v>
      </c>
      <c r="B139" s="6" t="s">
        <v>322</v>
      </c>
      <c r="C139" s="5" t="s">
        <v>260</v>
      </c>
      <c r="D139" s="5" t="s">
        <v>32</v>
      </c>
      <c r="E139" s="5" t="s">
        <v>14</v>
      </c>
      <c r="F139" s="5" t="s">
        <v>213</v>
      </c>
      <c r="G139" s="6">
        <v>2</v>
      </c>
      <c r="H139" s="7">
        <v>20090</v>
      </c>
      <c r="I139" s="7">
        <v>40180</v>
      </c>
      <c r="J139" s="5" t="s">
        <v>22</v>
      </c>
      <c r="K139" t="str">
        <f t="shared" si="6"/>
        <v>Mar</v>
      </c>
      <c r="L139">
        <f t="shared" si="7"/>
        <v>2024</v>
      </c>
      <c r="M139" t="str">
        <f t="shared" si="8"/>
        <v>High</v>
      </c>
    </row>
    <row r="140" spans="1:13" x14ac:dyDescent="0.3">
      <c r="A140" s="2" t="s">
        <v>277</v>
      </c>
      <c r="B140" s="3" t="s">
        <v>278</v>
      </c>
      <c r="C140" s="2" t="s">
        <v>133</v>
      </c>
      <c r="D140" s="2" t="s">
        <v>53</v>
      </c>
      <c r="E140" s="2" t="s">
        <v>14</v>
      </c>
      <c r="F140" s="2" t="s">
        <v>323</v>
      </c>
      <c r="G140" s="3">
        <v>2</v>
      </c>
      <c r="H140" s="4">
        <v>1590</v>
      </c>
      <c r="I140" s="4">
        <v>3180</v>
      </c>
      <c r="J140" s="2" t="s">
        <v>16</v>
      </c>
      <c r="K140" t="str">
        <f t="shared" si="6"/>
        <v>Jun</v>
      </c>
      <c r="L140">
        <f t="shared" si="7"/>
        <v>2024</v>
      </c>
      <c r="M140" t="str">
        <f t="shared" si="8"/>
        <v>Normal</v>
      </c>
    </row>
    <row r="141" spans="1:13" x14ac:dyDescent="0.3">
      <c r="A141" s="5" t="s">
        <v>84</v>
      </c>
      <c r="B141" s="6" t="s">
        <v>85</v>
      </c>
      <c r="C141" s="5" t="s">
        <v>149</v>
      </c>
      <c r="D141" s="5" t="s">
        <v>13</v>
      </c>
      <c r="E141" s="5" t="s">
        <v>14</v>
      </c>
      <c r="F141" s="5" t="s">
        <v>324</v>
      </c>
      <c r="G141" s="6">
        <v>5</v>
      </c>
      <c r="H141" s="7">
        <v>420</v>
      </c>
      <c r="I141" s="7">
        <v>2100</v>
      </c>
      <c r="J141" s="5" t="s">
        <v>22</v>
      </c>
      <c r="K141" t="str">
        <f t="shared" si="6"/>
        <v>May</v>
      </c>
      <c r="L141">
        <f t="shared" si="7"/>
        <v>2024</v>
      </c>
      <c r="M141" t="str">
        <f t="shared" si="8"/>
        <v>Normal</v>
      </c>
    </row>
    <row r="142" spans="1:13" x14ac:dyDescent="0.3">
      <c r="A142" s="2" t="s">
        <v>219</v>
      </c>
      <c r="B142" s="3" t="s">
        <v>220</v>
      </c>
      <c r="C142" s="2" t="s">
        <v>173</v>
      </c>
      <c r="D142" s="2" t="s">
        <v>53</v>
      </c>
      <c r="E142" s="2" t="s">
        <v>26</v>
      </c>
      <c r="F142" s="2" t="s">
        <v>325</v>
      </c>
      <c r="G142" s="3">
        <v>2</v>
      </c>
      <c r="H142" s="4">
        <v>680</v>
      </c>
      <c r="I142" s="4">
        <v>1360</v>
      </c>
      <c r="J142" s="2" t="s">
        <v>22</v>
      </c>
      <c r="K142" t="str">
        <f t="shared" si="6"/>
        <v>Oct</v>
      </c>
      <c r="L142">
        <f t="shared" si="7"/>
        <v>2024</v>
      </c>
      <c r="M142" t="str">
        <f t="shared" si="8"/>
        <v>Normal</v>
      </c>
    </row>
    <row r="143" spans="1:13" x14ac:dyDescent="0.3">
      <c r="A143" s="5" t="s">
        <v>228</v>
      </c>
      <c r="B143" s="6" t="s">
        <v>229</v>
      </c>
      <c r="C143" s="5" t="s">
        <v>157</v>
      </c>
      <c r="D143" s="5" t="s">
        <v>13</v>
      </c>
      <c r="E143" s="5" t="s">
        <v>33</v>
      </c>
      <c r="F143" s="5" t="s">
        <v>326</v>
      </c>
      <c r="G143" s="6">
        <v>4</v>
      </c>
      <c r="H143" s="7">
        <v>420</v>
      </c>
      <c r="I143" s="7">
        <v>1680</v>
      </c>
      <c r="J143" s="5" t="s">
        <v>16</v>
      </c>
      <c r="K143" t="str">
        <f t="shared" si="6"/>
        <v>Sep</v>
      </c>
      <c r="L143">
        <f t="shared" si="7"/>
        <v>2024</v>
      </c>
      <c r="M143" t="str">
        <f t="shared" si="8"/>
        <v>Normal</v>
      </c>
    </row>
    <row r="144" spans="1:13" x14ac:dyDescent="0.3">
      <c r="A144" s="2" t="s">
        <v>147</v>
      </c>
      <c r="B144" s="3" t="s">
        <v>148</v>
      </c>
      <c r="C144" s="2" t="s">
        <v>82</v>
      </c>
      <c r="D144" s="2" t="s">
        <v>74</v>
      </c>
      <c r="E144" s="2" t="s">
        <v>33</v>
      </c>
      <c r="F144" s="2" t="s">
        <v>327</v>
      </c>
      <c r="G144" s="3">
        <v>5</v>
      </c>
      <c r="H144" s="4">
        <v>1370</v>
      </c>
      <c r="I144" s="4">
        <v>6850</v>
      </c>
      <c r="J144" s="2" t="s">
        <v>28</v>
      </c>
      <c r="K144" t="str">
        <f t="shared" si="6"/>
        <v>Oct</v>
      </c>
      <c r="L144">
        <f t="shared" si="7"/>
        <v>2024</v>
      </c>
      <c r="M144" t="str">
        <f t="shared" si="8"/>
        <v>Normal</v>
      </c>
    </row>
    <row r="145" spans="1:13" x14ac:dyDescent="0.3">
      <c r="A145" s="5" t="s">
        <v>303</v>
      </c>
      <c r="B145" s="6" t="s">
        <v>304</v>
      </c>
      <c r="C145" s="5" t="s">
        <v>173</v>
      </c>
      <c r="D145" s="5" t="s">
        <v>53</v>
      </c>
      <c r="E145" s="5" t="s">
        <v>48</v>
      </c>
      <c r="F145" s="5" t="s">
        <v>328</v>
      </c>
      <c r="G145" s="6">
        <v>5</v>
      </c>
      <c r="H145" s="7">
        <v>730</v>
      </c>
      <c r="I145" s="7">
        <v>3650</v>
      </c>
      <c r="J145" s="5" t="s">
        <v>16</v>
      </c>
      <c r="K145" t="str">
        <f t="shared" si="6"/>
        <v>Jun</v>
      </c>
      <c r="L145">
        <f t="shared" si="7"/>
        <v>2024</v>
      </c>
      <c r="M145" t="str">
        <f t="shared" si="8"/>
        <v>Normal</v>
      </c>
    </row>
    <row r="146" spans="1:13" x14ac:dyDescent="0.3">
      <c r="A146" s="2" t="s">
        <v>219</v>
      </c>
      <c r="B146" s="3" t="s">
        <v>220</v>
      </c>
      <c r="C146" s="2" t="s">
        <v>270</v>
      </c>
      <c r="D146" s="2" t="s">
        <v>32</v>
      </c>
      <c r="E146" s="2" t="s">
        <v>33</v>
      </c>
      <c r="F146" s="2" t="s">
        <v>329</v>
      </c>
      <c r="G146" s="3">
        <v>4</v>
      </c>
      <c r="H146" s="4">
        <v>1390</v>
      </c>
      <c r="I146" s="4">
        <v>5560</v>
      </c>
      <c r="J146" s="2" t="s">
        <v>28</v>
      </c>
      <c r="K146" t="str">
        <f t="shared" si="6"/>
        <v>Dec</v>
      </c>
      <c r="L146">
        <f t="shared" si="7"/>
        <v>2024</v>
      </c>
      <c r="M146" t="str">
        <f t="shared" si="8"/>
        <v>Normal</v>
      </c>
    </row>
    <row r="147" spans="1:13" x14ac:dyDescent="0.3">
      <c r="A147" s="5" t="s">
        <v>76</v>
      </c>
      <c r="B147" s="6" t="s">
        <v>77</v>
      </c>
      <c r="C147" s="5" t="s">
        <v>37</v>
      </c>
      <c r="D147" s="5" t="s">
        <v>32</v>
      </c>
      <c r="E147" s="5" t="s">
        <v>14</v>
      </c>
      <c r="F147" s="5" t="s">
        <v>330</v>
      </c>
      <c r="G147" s="6">
        <v>2</v>
      </c>
      <c r="H147" s="7">
        <v>53040</v>
      </c>
      <c r="I147" s="7">
        <v>106080</v>
      </c>
      <c r="J147" s="5" t="s">
        <v>28</v>
      </c>
      <c r="K147" t="str">
        <f t="shared" si="6"/>
        <v>Feb</v>
      </c>
      <c r="L147">
        <f t="shared" si="7"/>
        <v>2024</v>
      </c>
      <c r="M147" t="str">
        <f t="shared" si="8"/>
        <v>High</v>
      </c>
    </row>
    <row r="148" spans="1:13" x14ac:dyDescent="0.3">
      <c r="A148" s="2" t="s">
        <v>331</v>
      </c>
      <c r="B148" s="3" t="s">
        <v>136</v>
      </c>
      <c r="C148" s="2" t="s">
        <v>171</v>
      </c>
      <c r="D148" s="2" t="s">
        <v>47</v>
      </c>
      <c r="E148" s="2" t="s">
        <v>26</v>
      </c>
      <c r="F148" s="2" t="s">
        <v>290</v>
      </c>
      <c r="G148" s="3">
        <v>5</v>
      </c>
      <c r="H148" s="4">
        <v>390</v>
      </c>
      <c r="I148" s="4">
        <v>1950</v>
      </c>
      <c r="J148" s="2" t="s">
        <v>28</v>
      </c>
      <c r="K148" t="str">
        <f t="shared" si="6"/>
        <v>Sep</v>
      </c>
      <c r="L148">
        <f t="shared" si="7"/>
        <v>2024</v>
      </c>
      <c r="M148" t="str">
        <f t="shared" si="8"/>
        <v>Normal</v>
      </c>
    </row>
    <row r="149" spans="1:13" x14ac:dyDescent="0.3">
      <c r="A149" s="5" t="s">
        <v>303</v>
      </c>
      <c r="B149" s="6" t="s">
        <v>304</v>
      </c>
      <c r="C149" s="5" t="s">
        <v>234</v>
      </c>
      <c r="D149" s="5" t="s">
        <v>42</v>
      </c>
      <c r="E149" s="5" t="s">
        <v>14</v>
      </c>
      <c r="F149" s="5" t="s">
        <v>168</v>
      </c>
      <c r="G149" s="6">
        <v>1</v>
      </c>
      <c r="H149" s="7">
        <v>320</v>
      </c>
      <c r="I149" s="7">
        <v>320</v>
      </c>
      <c r="J149" s="5" t="s">
        <v>28</v>
      </c>
      <c r="K149" t="str">
        <f t="shared" si="6"/>
        <v>Dec</v>
      </c>
      <c r="L149">
        <f t="shared" si="7"/>
        <v>2024</v>
      </c>
      <c r="M149" t="str">
        <f t="shared" si="8"/>
        <v>Normal</v>
      </c>
    </row>
    <row r="150" spans="1:13" x14ac:dyDescent="0.3">
      <c r="A150" s="2" t="s">
        <v>187</v>
      </c>
      <c r="B150" s="3" t="s">
        <v>188</v>
      </c>
      <c r="C150" s="2" t="s">
        <v>167</v>
      </c>
      <c r="D150" s="2" t="s">
        <v>53</v>
      </c>
      <c r="E150" s="2" t="s">
        <v>48</v>
      </c>
      <c r="F150" s="2" t="s">
        <v>146</v>
      </c>
      <c r="G150" s="3">
        <v>4</v>
      </c>
      <c r="H150" s="4">
        <v>580</v>
      </c>
      <c r="I150" s="4">
        <v>2320</v>
      </c>
      <c r="J150" s="2" t="s">
        <v>16</v>
      </c>
      <c r="K150" t="str">
        <f t="shared" si="6"/>
        <v>Jul</v>
      </c>
      <c r="L150">
        <f t="shared" si="7"/>
        <v>2024</v>
      </c>
      <c r="M150" t="str">
        <f t="shared" si="8"/>
        <v>Normal</v>
      </c>
    </row>
    <row r="151" spans="1:13" x14ac:dyDescent="0.3">
      <c r="A151" s="5" t="s">
        <v>66</v>
      </c>
      <c r="B151" s="6" t="s">
        <v>67</v>
      </c>
      <c r="C151" s="5" t="s">
        <v>12</v>
      </c>
      <c r="D151" s="5" t="s">
        <v>13</v>
      </c>
      <c r="E151" s="5" t="s">
        <v>14</v>
      </c>
      <c r="F151" s="5" t="s">
        <v>332</v>
      </c>
      <c r="G151" s="6">
        <v>3</v>
      </c>
      <c r="H151" s="7">
        <v>340</v>
      </c>
      <c r="I151" s="7">
        <v>1020</v>
      </c>
      <c r="J151" s="5" t="s">
        <v>16</v>
      </c>
      <c r="K151" t="str">
        <f t="shared" si="6"/>
        <v>Jul</v>
      </c>
      <c r="L151">
        <f t="shared" si="7"/>
        <v>2024</v>
      </c>
      <c r="M151" t="str">
        <f t="shared" si="8"/>
        <v>Normal</v>
      </c>
    </row>
    <row r="152" spans="1:13" x14ac:dyDescent="0.3">
      <c r="A152" s="2" t="s">
        <v>39</v>
      </c>
      <c r="B152" s="3" t="s">
        <v>40</v>
      </c>
      <c r="C152" s="2" t="s">
        <v>37</v>
      </c>
      <c r="D152" s="2" t="s">
        <v>32</v>
      </c>
      <c r="E152" s="2" t="s">
        <v>33</v>
      </c>
      <c r="F152" s="2" t="s">
        <v>333</v>
      </c>
      <c r="G152" s="3">
        <v>1</v>
      </c>
      <c r="H152" s="4">
        <v>58650</v>
      </c>
      <c r="I152" s="4">
        <v>58650</v>
      </c>
      <c r="J152" s="2" t="s">
        <v>16</v>
      </c>
      <c r="K152" t="str">
        <f t="shared" si="6"/>
        <v>Aug</v>
      </c>
      <c r="L152">
        <f t="shared" si="7"/>
        <v>2024</v>
      </c>
      <c r="M152" t="str">
        <f t="shared" si="8"/>
        <v>High</v>
      </c>
    </row>
    <row r="153" spans="1:13" x14ac:dyDescent="0.3">
      <c r="A153" s="5" t="s">
        <v>23</v>
      </c>
      <c r="B153" s="6" t="s">
        <v>24</v>
      </c>
      <c r="C153" s="5" t="s">
        <v>25</v>
      </c>
      <c r="D153" s="5" t="s">
        <v>20</v>
      </c>
      <c r="E153" s="5" t="s">
        <v>26</v>
      </c>
      <c r="F153" s="5" t="s">
        <v>334</v>
      </c>
      <c r="G153" s="6">
        <v>5</v>
      </c>
      <c r="H153" s="7">
        <v>200</v>
      </c>
      <c r="I153" s="7">
        <v>1000</v>
      </c>
      <c r="J153" s="5" t="s">
        <v>16</v>
      </c>
      <c r="K153" t="str">
        <f t="shared" si="6"/>
        <v>Oct</v>
      </c>
      <c r="L153">
        <f t="shared" si="7"/>
        <v>2024</v>
      </c>
      <c r="M153" t="str">
        <f t="shared" si="8"/>
        <v>Normal</v>
      </c>
    </row>
    <row r="154" spans="1:13" x14ac:dyDescent="0.3">
      <c r="A154" s="2" t="s">
        <v>99</v>
      </c>
      <c r="B154" s="3" t="s">
        <v>100</v>
      </c>
      <c r="C154" s="2" t="s">
        <v>226</v>
      </c>
      <c r="D154" s="2" t="s">
        <v>74</v>
      </c>
      <c r="E154" s="2" t="s">
        <v>26</v>
      </c>
      <c r="F154" s="2" t="s">
        <v>335</v>
      </c>
      <c r="G154" s="3">
        <v>4</v>
      </c>
      <c r="H154" s="4">
        <v>1070</v>
      </c>
      <c r="I154" s="4">
        <v>4280</v>
      </c>
      <c r="J154" s="2" t="s">
        <v>16</v>
      </c>
      <c r="K154" t="str">
        <f t="shared" si="6"/>
        <v>Jan</v>
      </c>
      <c r="L154">
        <f t="shared" si="7"/>
        <v>2024</v>
      </c>
      <c r="M154" t="str">
        <f t="shared" si="8"/>
        <v>Normal</v>
      </c>
    </row>
    <row r="155" spans="1:13" x14ac:dyDescent="0.3">
      <c r="A155" s="5" t="s">
        <v>143</v>
      </c>
      <c r="B155" s="6" t="s">
        <v>144</v>
      </c>
      <c r="C155" s="5" t="s">
        <v>256</v>
      </c>
      <c r="D155" s="5" t="s">
        <v>13</v>
      </c>
      <c r="E155" s="5" t="s">
        <v>48</v>
      </c>
      <c r="F155" s="5" t="s">
        <v>336</v>
      </c>
      <c r="G155" s="6">
        <v>2</v>
      </c>
      <c r="H155" s="7">
        <v>710</v>
      </c>
      <c r="I155" s="7">
        <v>1420</v>
      </c>
      <c r="J155" s="5" t="s">
        <v>22</v>
      </c>
      <c r="K155" t="str">
        <f t="shared" si="6"/>
        <v>Mar</v>
      </c>
      <c r="L155">
        <f t="shared" si="7"/>
        <v>2024</v>
      </c>
      <c r="M155" t="str">
        <f t="shared" si="8"/>
        <v>Normal</v>
      </c>
    </row>
    <row r="156" spans="1:13" x14ac:dyDescent="0.3">
      <c r="A156" s="2" t="s">
        <v>17</v>
      </c>
      <c r="B156" s="3" t="s">
        <v>18</v>
      </c>
      <c r="C156" s="2" t="s">
        <v>153</v>
      </c>
      <c r="D156" s="2" t="s">
        <v>13</v>
      </c>
      <c r="E156" s="2" t="s">
        <v>14</v>
      </c>
      <c r="F156" s="2" t="s">
        <v>337</v>
      </c>
      <c r="G156" s="3">
        <v>3</v>
      </c>
      <c r="H156" s="4">
        <v>200</v>
      </c>
      <c r="I156" s="4">
        <v>600</v>
      </c>
      <c r="J156" s="2" t="s">
        <v>28</v>
      </c>
      <c r="K156" t="str">
        <f t="shared" si="6"/>
        <v>Oct</v>
      </c>
      <c r="L156">
        <f t="shared" si="7"/>
        <v>2024</v>
      </c>
      <c r="M156" t="str">
        <f t="shared" si="8"/>
        <v>Normal</v>
      </c>
    </row>
    <row r="157" spans="1:13" x14ac:dyDescent="0.3">
      <c r="A157" s="5" t="s">
        <v>88</v>
      </c>
      <c r="B157" s="6" t="s">
        <v>89</v>
      </c>
      <c r="C157" s="5" t="s">
        <v>275</v>
      </c>
      <c r="D157" s="5" t="s">
        <v>20</v>
      </c>
      <c r="E157" s="5" t="s">
        <v>14</v>
      </c>
      <c r="F157" s="5" t="s">
        <v>338</v>
      </c>
      <c r="G157" s="6">
        <v>3</v>
      </c>
      <c r="H157" s="7">
        <v>360</v>
      </c>
      <c r="I157" s="7">
        <v>1080</v>
      </c>
      <c r="J157" s="5" t="s">
        <v>28</v>
      </c>
      <c r="K157" t="str">
        <f t="shared" si="6"/>
        <v>Jan</v>
      </c>
      <c r="L157">
        <f t="shared" si="7"/>
        <v>2024</v>
      </c>
      <c r="M157" t="str">
        <f t="shared" si="8"/>
        <v>Normal</v>
      </c>
    </row>
    <row r="158" spans="1:13" x14ac:dyDescent="0.3">
      <c r="A158" s="2" t="s">
        <v>143</v>
      </c>
      <c r="B158" s="3" t="s">
        <v>144</v>
      </c>
      <c r="C158" s="2" t="s">
        <v>153</v>
      </c>
      <c r="D158" s="2" t="s">
        <v>13</v>
      </c>
      <c r="E158" s="2" t="s">
        <v>48</v>
      </c>
      <c r="F158" s="2" t="s">
        <v>339</v>
      </c>
      <c r="G158" s="3">
        <v>2</v>
      </c>
      <c r="H158" s="4">
        <v>200</v>
      </c>
      <c r="I158" s="4">
        <v>400</v>
      </c>
      <c r="J158" s="2" t="s">
        <v>22</v>
      </c>
      <c r="K158" t="str">
        <f t="shared" si="6"/>
        <v>Oct</v>
      </c>
      <c r="L158">
        <f t="shared" si="7"/>
        <v>2024</v>
      </c>
      <c r="M158" t="str">
        <f t="shared" si="8"/>
        <v>Normal</v>
      </c>
    </row>
    <row r="159" spans="1:13" x14ac:dyDescent="0.3">
      <c r="A159" s="5" t="s">
        <v>179</v>
      </c>
      <c r="B159" s="6" t="s">
        <v>180</v>
      </c>
      <c r="C159" s="5" t="s">
        <v>181</v>
      </c>
      <c r="D159" s="5" t="s">
        <v>47</v>
      </c>
      <c r="E159" s="5" t="s">
        <v>48</v>
      </c>
      <c r="F159" s="5" t="s">
        <v>340</v>
      </c>
      <c r="G159" s="6">
        <v>5</v>
      </c>
      <c r="H159" s="7">
        <v>730</v>
      </c>
      <c r="I159" s="7">
        <v>3650</v>
      </c>
      <c r="J159" s="5" t="s">
        <v>28</v>
      </c>
      <c r="K159" t="str">
        <f t="shared" si="6"/>
        <v>Apr</v>
      </c>
      <c r="L159">
        <f t="shared" si="7"/>
        <v>2024</v>
      </c>
      <c r="M159" t="str">
        <f t="shared" si="8"/>
        <v>Normal</v>
      </c>
    </row>
    <row r="160" spans="1:13" x14ac:dyDescent="0.3">
      <c r="A160" s="2" t="s">
        <v>244</v>
      </c>
      <c r="B160" s="3" t="s">
        <v>245</v>
      </c>
      <c r="C160" s="2" t="s">
        <v>149</v>
      </c>
      <c r="D160" s="2" t="s">
        <v>13</v>
      </c>
      <c r="E160" s="2" t="s">
        <v>33</v>
      </c>
      <c r="F160" s="2" t="s">
        <v>341</v>
      </c>
      <c r="G160" s="3">
        <v>3</v>
      </c>
      <c r="H160" s="4">
        <v>370</v>
      </c>
      <c r="I160" s="4">
        <v>1110</v>
      </c>
      <c r="J160" s="2" t="s">
        <v>22</v>
      </c>
      <c r="K160" t="str">
        <f t="shared" si="6"/>
        <v>Oct</v>
      </c>
      <c r="L160">
        <f t="shared" si="7"/>
        <v>2024</v>
      </c>
      <c r="M160" t="str">
        <f t="shared" si="8"/>
        <v>Normal</v>
      </c>
    </row>
    <row r="161" spans="1:13" x14ac:dyDescent="0.3">
      <c r="A161" s="5" t="s">
        <v>135</v>
      </c>
      <c r="B161" s="6" t="s">
        <v>136</v>
      </c>
      <c r="C161" s="5" t="s">
        <v>173</v>
      </c>
      <c r="D161" s="5" t="s">
        <v>53</v>
      </c>
      <c r="E161" s="5" t="s">
        <v>48</v>
      </c>
      <c r="F161" s="5" t="s">
        <v>342</v>
      </c>
      <c r="G161" s="6">
        <v>3</v>
      </c>
      <c r="H161" s="7">
        <v>720</v>
      </c>
      <c r="I161" s="7">
        <v>2160</v>
      </c>
      <c r="J161" s="5" t="s">
        <v>28</v>
      </c>
      <c r="K161" t="str">
        <f t="shared" si="6"/>
        <v>Aug</v>
      </c>
      <c r="L161">
        <f t="shared" si="7"/>
        <v>2024</v>
      </c>
      <c r="M161" t="str">
        <f t="shared" si="8"/>
        <v>Normal</v>
      </c>
    </row>
    <row r="162" spans="1:13" x14ac:dyDescent="0.3">
      <c r="A162" s="2" t="s">
        <v>215</v>
      </c>
      <c r="B162" s="3" t="s">
        <v>216</v>
      </c>
      <c r="C162" s="2" t="s">
        <v>200</v>
      </c>
      <c r="D162" s="2" t="s">
        <v>74</v>
      </c>
      <c r="E162" s="2" t="s">
        <v>26</v>
      </c>
      <c r="F162" s="2" t="s">
        <v>343</v>
      </c>
      <c r="G162" s="3">
        <v>5</v>
      </c>
      <c r="H162" s="4">
        <v>430</v>
      </c>
      <c r="I162" s="4">
        <v>2150</v>
      </c>
      <c r="J162" s="2" t="s">
        <v>28</v>
      </c>
      <c r="K162" t="str">
        <f t="shared" si="6"/>
        <v>Feb</v>
      </c>
      <c r="L162">
        <f t="shared" si="7"/>
        <v>2024</v>
      </c>
      <c r="M162" t="str">
        <f t="shared" si="8"/>
        <v>Normal</v>
      </c>
    </row>
    <row r="163" spans="1:13" x14ac:dyDescent="0.3">
      <c r="A163" s="5" t="s">
        <v>10</v>
      </c>
      <c r="B163" s="6" t="s">
        <v>11</v>
      </c>
      <c r="C163" s="5" t="s">
        <v>299</v>
      </c>
      <c r="D163" s="5" t="s">
        <v>13</v>
      </c>
      <c r="E163" s="5" t="s">
        <v>14</v>
      </c>
      <c r="F163" s="5" t="s">
        <v>288</v>
      </c>
      <c r="G163" s="6">
        <v>3</v>
      </c>
      <c r="H163" s="7">
        <v>120</v>
      </c>
      <c r="I163" s="7">
        <v>360</v>
      </c>
      <c r="J163" s="5" t="s">
        <v>28</v>
      </c>
      <c r="K163" t="str">
        <f t="shared" si="6"/>
        <v>Jan</v>
      </c>
      <c r="L163">
        <f t="shared" si="7"/>
        <v>2024</v>
      </c>
      <c r="M163" t="str">
        <f t="shared" si="8"/>
        <v>Normal</v>
      </c>
    </row>
    <row r="164" spans="1:13" x14ac:dyDescent="0.3">
      <c r="A164" s="2" t="s">
        <v>321</v>
      </c>
      <c r="B164" s="3" t="s">
        <v>322</v>
      </c>
      <c r="C164" s="2" t="s">
        <v>260</v>
      </c>
      <c r="D164" s="2" t="s">
        <v>32</v>
      </c>
      <c r="E164" s="2" t="s">
        <v>26</v>
      </c>
      <c r="F164" s="2" t="s">
        <v>196</v>
      </c>
      <c r="G164" s="3">
        <v>2</v>
      </c>
      <c r="H164" s="4">
        <v>17880</v>
      </c>
      <c r="I164" s="4">
        <v>35760</v>
      </c>
      <c r="J164" s="2" t="s">
        <v>28</v>
      </c>
      <c r="K164" t="str">
        <f t="shared" si="6"/>
        <v>Mar</v>
      </c>
      <c r="L164">
        <f t="shared" si="7"/>
        <v>2024</v>
      </c>
      <c r="M164" t="str">
        <f t="shared" si="8"/>
        <v>High</v>
      </c>
    </row>
    <row r="165" spans="1:13" x14ac:dyDescent="0.3">
      <c r="A165" s="5" t="s">
        <v>300</v>
      </c>
      <c r="B165" s="6" t="s">
        <v>301</v>
      </c>
      <c r="C165" s="5" t="s">
        <v>260</v>
      </c>
      <c r="D165" s="5" t="s">
        <v>32</v>
      </c>
      <c r="E165" s="5" t="s">
        <v>14</v>
      </c>
      <c r="F165" s="5" t="s">
        <v>344</v>
      </c>
      <c r="G165" s="6">
        <v>4</v>
      </c>
      <c r="H165" s="7">
        <v>18990</v>
      </c>
      <c r="I165" s="7">
        <v>75960</v>
      </c>
      <c r="J165" s="5" t="s">
        <v>28</v>
      </c>
      <c r="K165" t="str">
        <f t="shared" si="6"/>
        <v>Mar</v>
      </c>
      <c r="L165">
        <f t="shared" si="7"/>
        <v>2024</v>
      </c>
      <c r="M165" t="str">
        <f t="shared" si="8"/>
        <v>High</v>
      </c>
    </row>
    <row r="166" spans="1:13" x14ac:dyDescent="0.3">
      <c r="A166" s="2" t="s">
        <v>72</v>
      </c>
      <c r="B166" s="3" t="s">
        <v>73</v>
      </c>
      <c r="C166" s="2" t="s">
        <v>177</v>
      </c>
      <c r="D166" s="2" t="s">
        <v>47</v>
      </c>
      <c r="E166" s="2" t="s">
        <v>48</v>
      </c>
      <c r="F166" s="2" t="s">
        <v>259</v>
      </c>
      <c r="G166" s="3">
        <v>3</v>
      </c>
      <c r="H166" s="4">
        <v>2000</v>
      </c>
      <c r="I166" s="4">
        <v>6000</v>
      </c>
      <c r="J166" s="2" t="s">
        <v>16</v>
      </c>
      <c r="K166" t="str">
        <f t="shared" si="6"/>
        <v>Feb</v>
      </c>
      <c r="L166">
        <f t="shared" si="7"/>
        <v>2024</v>
      </c>
      <c r="M166" t="str">
        <f t="shared" si="8"/>
        <v>Normal</v>
      </c>
    </row>
    <row r="167" spans="1:13" x14ac:dyDescent="0.3">
      <c r="A167" s="5" t="s">
        <v>123</v>
      </c>
      <c r="B167" s="6" t="s">
        <v>124</v>
      </c>
      <c r="C167" s="5" t="s">
        <v>141</v>
      </c>
      <c r="D167" s="5" t="s">
        <v>74</v>
      </c>
      <c r="E167" s="5" t="s">
        <v>48</v>
      </c>
      <c r="F167" s="5" t="s">
        <v>345</v>
      </c>
      <c r="G167" s="6">
        <v>1</v>
      </c>
      <c r="H167" s="7">
        <v>1880</v>
      </c>
      <c r="I167" s="7">
        <v>1880</v>
      </c>
      <c r="J167" s="5" t="s">
        <v>16</v>
      </c>
      <c r="K167" t="str">
        <f t="shared" si="6"/>
        <v>Jun</v>
      </c>
      <c r="L167">
        <f t="shared" si="7"/>
        <v>2024</v>
      </c>
      <c r="M167" t="str">
        <f t="shared" si="8"/>
        <v>Normal</v>
      </c>
    </row>
    <row r="168" spans="1:13" x14ac:dyDescent="0.3">
      <c r="A168" s="2" t="s">
        <v>241</v>
      </c>
      <c r="B168" s="3" t="s">
        <v>242</v>
      </c>
      <c r="C168" s="2" t="s">
        <v>68</v>
      </c>
      <c r="D168" s="2" t="s">
        <v>47</v>
      </c>
      <c r="E168" s="2" t="s">
        <v>26</v>
      </c>
      <c r="F168" s="2" t="s">
        <v>346</v>
      </c>
      <c r="G168" s="3">
        <v>4</v>
      </c>
      <c r="H168" s="4">
        <v>330</v>
      </c>
      <c r="I168" s="4">
        <v>1320</v>
      </c>
      <c r="J168" s="2" t="s">
        <v>22</v>
      </c>
      <c r="K168" t="str">
        <f t="shared" si="6"/>
        <v>Jan</v>
      </c>
      <c r="L168">
        <f t="shared" si="7"/>
        <v>2024</v>
      </c>
      <c r="M168" t="str">
        <f t="shared" si="8"/>
        <v>Normal</v>
      </c>
    </row>
    <row r="169" spans="1:13" x14ac:dyDescent="0.3">
      <c r="A169" s="5" t="s">
        <v>331</v>
      </c>
      <c r="B169" s="6" t="s">
        <v>136</v>
      </c>
      <c r="C169" s="5" t="s">
        <v>226</v>
      </c>
      <c r="D169" s="5" t="s">
        <v>74</v>
      </c>
      <c r="E169" s="5" t="s">
        <v>48</v>
      </c>
      <c r="F169" s="5" t="s">
        <v>347</v>
      </c>
      <c r="G169" s="6">
        <v>1</v>
      </c>
      <c r="H169" s="7">
        <v>920</v>
      </c>
      <c r="I169" s="7">
        <v>920</v>
      </c>
      <c r="J169" s="5" t="s">
        <v>16</v>
      </c>
      <c r="K169" t="str">
        <f t="shared" si="6"/>
        <v>May</v>
      </c>
      <c r="L169">
        <f t="shared" si="7"/>
        <v>2024</v>
      </c>
      <c r="M169" t="str">
        <f t="shared" si="8"/>
        <v>Normal</v>
      </c>
    </row>
    <row r="170" spans="1:13" x14ac:dyDescent="0.3">
      <c r="A170" s="2" t="s">
        <v>241</v>
      </c>
      <c r="B170" s="3" t="s">
        <v>242</v>
      </c>
      <c r="C170" s="2" t="s">
        <v>348</v>
      </c>
      <c r="D170" s="2" t="s">
        <v>42</v>
      </c>
      <c r="E170" s="2" t="s">
        <v>14</v>
      </c>
      <c r="F170" s="2" t="s">
        <v>349</v>
      </c>
      <c r="G170" s="3">
        <v>3</v>
      </c>
      <c r="H170" s="4">
        <v>390</v>
      </c>
      <c r="I170" s="4">
        <v>1170</v>
      </c>
      <c r="J170" s="2" t="s">
        <v>28</v>
      </c>
      <c r="K170" t="str">
        <f t="shared" si="6"/>
        <v>Jun</v>
      </c>
      <c r="L170">
        <f t="shared" si="7"/>
        <v>2024</v>
      </c>
      <c r="M170" t="str">
        <f t="shared" si="8"/>
        <v>Normal</v>
      </c>
    </row>
    <row r="171" spans="1:13" x14ac:dyDescent="0.3">
      <c r="A171" s="5" t="s">
        <v>80</v>
      </c>
      <c r="B171" s="6" t="s">
        <v>81</v>
      </c>
      <c r="C171" s="5" t="s">
        <v>37</v>
      </c>
      <c r="D171" s="5" t="s">
        <v>32</v>
      </c>
      <c r="E171" s="5" t="s">
        <v>26</v>
      </c>
      <c r="F171" s="5" t="s">
        <v>350</v>
      </c>
      <c r="G171" s="6">
        <v>2</v>
      </c>
      <c r="H171" s="7">
        <v>55340</v>
      </c>
      <c r="I171" s="7">
        <v>110680</v>
      </c>
      <c r="J171" s="5" t="s">
        <v>16</v>
      </c>
      <c r="K171" t="str">
        <f t="shared" si="6"/>
        <v>Jun</v>
      </c>
      <c r="L171">
        <f t="shared" si="7"/>
        <v>2024</v>
      </c>
      <c r="M171" t="str">
        <f t="shared" si="8"/>
        <v>High</v>
      </c>
    </row>
    <row r="172" spans="1:13" x14ac:dyDescent="0.3">
      <c r="A172" s="2" t="s">
        <v>179</v>
      </c>
      <c r="B172" s="3" t="s">
        <v>180</v>
      </c>
      <c r="C172" s="2" t="s">
        <v>52</v>
      </c>
      <c r="D172" s="2" t="s">
        <v>53</v>
      </c>
      <c r="E172" s="2" t="s">
        <v>14</v>
      </c>
      <c r="F172" s="2" t="s">
        <v>351</v>
      </c>
      <c r="G172" s="3">
        <v>2</v>
      </c>
      <c r="H172" s="4">
        <v>1110</v>
      </c>
      <c r="I172" s="4">
        <v>2220</v>
      </c>
      <c r="J172" s="2" t="s">
        <v>16</v>
      </c>
      <c r="K172" t="str">
        <f t="shared" si="6"/>
        <v>Mar</v>
      </c>
      <c r="L172">
        <f t="shared" si="7"/>
        <v>2024</v>
      </c>
      <c r="M172" t="str">
        <f t="shared" si="8"/>
        <v>Normal</v>
      </c>
    </row>
    <row r="173" spans="1:13" x14ac:dyDescent="0.3">
      <c r="A173" s="5" t="s">
        <v>352</v>
      </c>
      <c r="B173" s="6" t="s">
        <v>353</v>
      </c>
      <c r="C173" s="5" t="s">
        <v>189</v>
      </c>
      <c r="D173" s="5" t="s">
        <v>53</v>
      </c>
      <c r="E173" s="5" t="s">
        <v>48</v>
      </c>
      <c r="F173" s="5" t="s">
        <v>354</v>
      </c>
      <c r="G173" s="6">
        <v>5</v>
      </c>
      <c r="H173" s="7">
        <v>3470</v>
      </c>
      <c r="I173" s="7">
        <v>17350</v>
      </c>
      <c r="J173" s="5" t="s">
        <v>16</v>
      </c>
      <c r="K173" t="str">
        <f t="shared" si="6"/>
        <v>Oct</v>
      </c>
      <c r="L173">
        <f t="shared" si="7"/>
        <v>2024</v>
      </c>
      <c r="M173" t="str">
        <f t="shared" si="8"/>
        <v>High</v>
      </c>
    </row>
    <row r="174" spans="1:13" x14ac:dyDescent="0.3">
      <c r="A174" s="2" t="s">
        <v>35</v>
      </c>
      <c r="B174" s="3" t="s">
        <v>36</v>
      </c>
      <c r="C174" s="2" t="s">
        <v>171</v>
      </c>
      <c r="D174" s="2" t="s">
        <v>47</v>
      </c>
      <c r="E174" s="2" t="s">
        <v>48</v>
      </c>
      <c r="F174" s="2" t="s">
        <v>355</v>
      </c>
      <c r="G174" s="3">
        <v>3</v>
      </c>
      <c r="H174" s="4">
        <v>430</v>
      </c>
      <c r="I174" s="4">
        <v>1290</v>
      </c>
      <c r="J174" s="2" t="s">
        <v>22</v>
      </c>
      <c r="K174" t="str">
        <f t="shared" si="6"/>
        <v>Mar</v>
      </c>
      <c r="L174">
        <f t="shared" si="7"/>
        <v>2024</v>
      </c>
      <c r="M174" t="str">
        <f t="shared" si="8"/>
        <v>Normal</v>
      </c>
    </row>
    <row r="175" spans="1:13" x14ac:dyDescent="0.3">
      <c r="A175" s="5" t="s">
        <v>39</v>
      </c>
      <c r="B175" s="6" t="s">
        <v>40</v>
      </c>
      <c r="C175" s="5" t="s">
        <v>86</v>
      </c>
      <c r="D175" s="5" t="s">
        <v>74</v>
      </c>
      <c r="E175" s="5" t="s">
        <v>26</v>
      </c>
      <c r="F175" s="5" t="s">
        <v>356</v>
      </c>
      <c r="G175" s="6">
        <v>5</v>
      </c>
      <c r="H175" s="7">
        <v>630</v>
      </c>
      <c r="I175" s="7">
        <v>3150</v>
      </c>
      <c r="J175" s="5" t="s">
        <v>16</v>
      </c>
      <c r="K175" t="str">
        <f t="shared" si="6"/>
        <v>Jan</v>
      </c>
      <c r="L175">
        <f t="shared" si="7"/>
        <v>2024</v>
      </c>
      <c r="M175" t="str">
        <f t="shared" si="8"/>
        <v>Normal</v>
      </c>
    </row>
    <row r="176" spans="1:13" x14ac:dyDescent="0.3">
      <c r="A176" s="2" t="s">
        <v>352</v>
      </c>
      <c r="B176" s="3" t="s">
        <v>353</v>
      </c>
      <c r="C176" s="2" t="s">
        <v>299</v>
      </c>
      <c r="D176" s="2" t="s">
        <v>13</v>
      </c>
      <c r="E176" s="2" t="s">
        <v>26</v>
      </c>
      <c r="F176" s="2" t="s">
        <v>214</v>
      </c>
      <c r="G176" s="3">
        <v>1</v>
      </c>
      <c r="H176" s="4">
        <v>120</v>
      </c>
      <c r="I176" s="4">
        <v>120</v>
      </c>
      <c r="J176" s="2" t="s">
        <v>22</v>
      </c>
      <c r="K176" t="str">
        <f t="shared" si="6"/>
        <v>Jul</v>
      </c>
      <c r="L176">
        <f t="shared" si="7"/>
        <v>2024</v>
      </c>
      <c r="M176" t="str">
        <f t="shared" si="8"/>
        <v>Normal</v>
      </c>
    </row>
    <row r="177" spans="1:13" x14ac:dyDescent="0.3">
      <c r="A177" s="5" t="s">
        <v>266</v>
      </c>
      <c r="B177" s="6" t="s">
        <v>267</v>
      </c>
      <c r="C177" s="5" t="s">
        <v>234</v>
      </c>
      <c r="D177" s="5" t="s">
        <v>42</v>
      </c>
      <c r="E177" s="5" t="s">
        <v>48</v>
      </c>
      <c r="F177" s="5" t="s">
        <v>224</v>
      </c>
      <c r="G177" s="6">
        <v>5</v>
      </c>
      <c r="H177" s="7">
        <v>350</v>
      </c>
      <c r="I177" s="7">
        <v>1750</v>
      </c>
      <c r="J177" s="5" t="s">
        <v>16</v>
      </c>
      <c r="K177" t="str">
        <f t="shared" si="6"/>
        <v>Jan</v>
      </c>
      <c r="L177">
        <f t="shared" si="7"/>
        <v>2024</v>
      </c>
      <c r="M177" t="str">
        <f t="shared" si="8"/>
        <v>Normal</v>
      </c>
    </row>
    <row r="178" spans="1:13" x14ac:dyDescent="0.3">
      <c r="A178" s="2" t="s">
        <v>155</v>
      </c>
      <c r="B178" s="3" t="s">
        <v>156</v>
      </c>
      <c r="C178" s="2" t="s">
        <v>299</v>
      </c>
      <c r="D178" s="2" t="s">
        <v>13</v>
      </c>
      <c r="E178" s="2" t="s">
        <v>33</v>
      </c>
      <c r="F178" s="2" t="s">
        <v>357</v>
      </c>
      <c r="G178" s="3">
        <v>1</v>
      </c>
      <c r="H178" s="4">
        <v>120</v>
      </c>
      <c r="I178" s="4">
        <v>120</v>
      </c>
      <c r="J178" s="2" t="s">
        <v>28</v>
      </c>
      <c r="K178" t="str">
        <f t="shared" si="6"/>
        <v>Aug</v>
      </c>
      <c r="L178">
        <f t="shared" si="7"/>
        <v>2024</v>
      </c>
      <c r="M178" t="str">
        <f t="shared" si="8"/>
        <v>Normal</v>
      </c>
    </row>
    <row r="179" spans="1:13" x14ac:dyDescent="0.3">
      <c r="A179" s="5" t="s">
        <v>263</v>
      </c>
      <c r="B179" s="6" t="s">
        <v>264</v>
      </c>
      <c r="C179" s="5" t="s">
        <v>41</v>
      </c>
      <c r="D179" s="5" t="s">
        <v>42</v>
      </c>
      <c r="E179" s="5" t="s">
        <v>14</v>
      </c>
      <c r="F179" s="5" t="s">
        <v>49</v>
      </c>
      <c r="G179" s="6">
        <v>4</v>
      </c>
      <c r="H179" s="7">
        <v>320</v>
      </c>
      <c r="I179" s="7">
        <v>1280</v>
      </c>
      <c r="J179" s="5" t="s">
        <v>28</v>
      </c>
      <c r="K179" t="str">
        <f t="shared" si="6"/>
        <v>Aug</v>
      </c>
      <c r="L179">
        <f t="shared" si="7"/>
        <v>2024</v>
      </c>
      <c r="M179" t="str">
        <f t="shared" si="8"/>
        <v>Normal</v>
      </c>
    </row>
    <row r="180" spans="1:13" x14ac:dyDescent="0.3">
      <c r="A180" s="2" t="s">
        <v>23</v>
      </c>
      <c r="B180" s="3" t="s">
        <v>24</v>
      </c>
      <c r="C180" s="2" t="s">
        <v>12</v>
      </c>
      <c r="D180" s="2" t="s">
        <v>13</v>
      </c>
      <c r="E180" s="2" t="s">
        <v>33</v>
      </c>
      <c r="F180" s="2" t="s">
        <v>358</v>
      </c>
      <c r="G180" s="3">
        <v>3</v>
      </c>
      <c r="H180" s="4">
        <v>340</v>
      </c>
      <c r="I180" s="4">
        <v>1020</v>
      </c>
      <c r="J180" s="2" t="s">
        <v>16</v>
      </c>
      <c r="K180" t="str">
        <f t="shared" si="6"/>
        <v>Dec</v>
      </c>
      <c r="L180">
        <f t="shared" si="7"/>
        <v>2024</v>
      </c>
      <c r="M180" t="str">
        <f t="shared" si="8"/>
        <v>Normal</v>
      </c>
    </row>
    <row r="181" spans="1:13" x14ac:dyDescent="0.3">
      <c r="A181" s="5" t="s">
        <v>58</v>
      </c>
      <c r="B181" s="6" t="s">
        <v>59</v>
      </c>
      <c r="C181" s="5" t="s">
        <v>31</v>
      </c>
      <c r="D181" s="5" t="s">
        <v>32</v>
      </c>
      <c r="E181" s="5" t="s">
        <v>26</v>
      </c>
      <c r="F181" s="5" t="s">
        <v>359</v>
      </c>
      <c r="G181" s="6">
        <v>4</v>
      </c>
      <c r="H181" s="7">
        <v>11940</v>
      </c>
      <c r="I181" s="7">
        <v>47760</v>
      </c>
      <c r="J181" s="5" t="s">
        <v>16</v>
      </c>
      <c r="K181" t="str">
        <f t="shared" si="6"/>
        <v>May</v>
      </c>
      <c r="L181">
        <f t="shared" si="7"/>
        <v>2024</v>
      </c>
      <c r="M181" t="str">
        <f t="shared" si="8"/>
        <v>High</v>
      </c>
    </row>
    <row r="182" spans="1:13" x14ac:dyDescent="0.3">
      <c r="A182" s="2" t="s">
        <v>215</v>
      </c>
      <c r="B182" s="3" t="s">
        <v>216</v>
      </c>
      <c r="C182" s="2" t="s">
        <v>25</v>
      </c>
      <c r="D182" s="2" t="s">
        <v>20</v>
      </c>
      <c r="E182" s="2" t="s">
        <v>14</v>
      </c>
      <c r="F182" s="2" t="s">
        <v>360</v>
      </c>
      <c r="G182" s="3">
        <v>5</v>
      </c>
      <c r="H182" s="4">
        <v>190</v>
      </c>
      <c r="I182" s="4">
        <v>950</v>
      </c>
      <c r="J182" s="2" t="s">
        <v>28</v>
      </c>
      <c r="K182" t="str">
        <f t="shared" si="6"/>
        <v>Dec</v>
      </c>
      <c r="L182">
        <f t="shared" si="7"/>
        <v>2024</v>
      </c>
      <c r="M182" t="str">
        <f t="shared" si="8"/>
        <v>Normal</v>
      </c>
    </row>
    <row r="183" spans="1:13" x14ac:dyDescent="0.3">
      <c r="A183" s="5" t="s">
        <v>143</v>
      </c>
      <c r="B183" s="6" t="s">
        <v>144</v>
      </c>
      <c r="C183" s="5" t="s">
        <v>68</v>
      </c>
      <c r="D183" s="5" t="s">
        <v>47</v>
      </c>
      <c r="E183" s="5" t="s">
        <v>48</v>
      </c>
      <c r="F183" s="5" t="s">
        <v>361</v>
      </c>
      <c r="G183" s="6">
        <v>1</v>
      </c>
      <c r="H183" s="7">
        <v>320</v>
      </c>
      <c r="I183" s="7">
        <v>320</v>
      </c>
      <c r="J183" s="5" t="s">
        <v>16</v>
      </c>
      <c r="K183" t="str">
        <f t="shared" si="6"/>
        <v>Jun</v>
      </c>
      <c r="L183">
        <f t="shared" si="7"/>
        <v>2024</v>
      </c>
      <c r="M183" t="str">
        <f t="shared" si="8"/>
        <v>Normal</v>
      </c>
    </row>
    <row r="184" spans="1:13" x14ac:dyDescent="0.3">
      <c r="A184" s="2" t="s">
        <v>58</v>
      </c>
      <c r="B184" s="3" t="s">
        <v>59</v>
      </c>
      <c r="C184" s="2" t="s">
        <v>25</v>
      </c>
      <c r="D184" s="2" t="s">
        <v>20</v>
      </c>
      <c r="E184" s="2" t="s">
        <v>48</v>
      </c>
      <c r="F184" s="2" t="s">
        <v>122</v>
      </c>
      <c r="G184" s="3">
        <v>5</v>
      </c>
      <c r="H184" s="4">
        <v>210</v>
      </c>
      <c r="I184" s="4">
        <v>1050</v>
      </c>
      <c r="J184" s="2" t="s">
        <v>16</v>
      </c>
      <c r="K184" t="str">
        <f t="shared" si="6"/>
        <v>Feb</v>
      </c>
      <c r="L184">
        <f t="shared" si="7"/>
        <v>2024</v>
      </c>
      <c r="M184" t="str">
        <f t="shared" si="8"/>
        <v>Normal</v>
      </c>
    </row>
    <row r="185" spans="1:13" x14ac:dyDescent="0.3">
      <c r="A185" s="5" t="s">
        <v>307</v>
      </c>
      <c r="B185" s="6" t="s">
        <v>161</v>
      </c>
      <c r="C185" s="5" t="s">
        <v>31</v>
      </c>
      <c r="D185" s="5" t="s">
        <v>32</v>
      </c>
      <c r="E185" s="5" t="s">
        <v>48</v>
      </c>
      <c r="F185" s="5" t="s">
        <v>250</v>
      </c>
      <c r="G185" s="6">
        <v>2</v>
      </c>
      <c r="H185" s="7">
        <v>12500</v>
      </c>
      <c r="I185" s="7">
        <v>25000</v>
      </c>
      <c r="J185" s="5" t="s">
        <v>22</v>
      </c>
      <c r="K185" t="str">
        <f t="shared" si="6"/>
        <v>Jun</v>
      </c>
      <c r="L185">
        <f t="shared" si="7"/>
        <v>2024</v>
      </c>
      <c r="M185" t="str">
        <f t="shared" si="8"/>
        <v>High</v>
      </c>
    </row>
    <row r="186" spans="1:13" x14ac:dyDescent="0.3">
      <c r="A186" s="2" t="s">
        <v>55</v>
      </c>
      <c r="B186" s="3" t="s">
        <v>56</v>
      </c>
      <c r="C186" s="2" t="s">
        <v>137</v>
      </c>
      <c r="D186" s="2" t="s">
        <v>53</v>
      </c>
      <c r="E186" s="2" t="s">
        <v>33</v>
      </c>
      <c r="F186" s="2" t="s">
        <v>113</v>
      </c>
      <c r="G186" s="3">
        <v>1</v>
      </c>
      <c r="H186" s="4">
        <v>1650</v>
      </c>
      <c r="I186" s="4">
        <v>1650</v>
      </c>
      <c r="J186" s="2" t="s">
        <v>16</v>
      </c>
      <c r="K186" t="str">
        <f t="shared" si="6"/>
        <v>Sep</v>
      </c>
      <c r="L186">
        <f t="shared" si="7"/>
        <v>2024</v>
      </c>
      <c r="M186" t="str">
        <f t="shared" si="8"/>
        <v>Normal</v>
      </c>
    </row>
    <row r="187" spans="1:13" x14ac:dyDescent="0.3">
      <c r="A187" s="5" t="s">
        <v>362</v>
      </c>
      <c r="B187" s="6" t="s">
        <v>363</v>
      </c>
      <c r="C187" s="5" t="s">
        <v>25</v>
      </c>
      <c r="D187" s="5" t="s">
        <v>20</v>
      </c>
      <c r="E187" s="5" t="s">
        <v>14</v>
      </c>
      <c r="F187" s="5" t="s">
        <v>364</v>
      </c>
      <c r="G187" s="6">
        <v>2</v>
      </c>
      <c r="H187" s="7">
        <v>200</v>
      </c>
      <c r="I187" s="7">
        <v>400</v>
      </c>
      <c r="J187" s="5" t="s">
        <v>16</v>
      </c>
      <c r="K187" t="str">
        <f t="shared" si="6"/>
        <v>Mar</v>
      </c>
      <c r="L187">
        <f t="shared" si="7"/>
        <v>2024</v>
      </c>
      <c r="M187" t="str">
        <f t="shared" si="8"/>
        <v>Normal</v>
      </c>
    </row>
    <row r="188" spans="1:13" x14ac:dyDescent="0.3">
      <c r="A188" s="2" t="s">
        <v>331</v>
      </c>
      <c r="B188" s="3" t="s">
        <v>136</v>
      </c>
      <c r="C188" s="2" t="s">
        <v>25</v>
      </c>
      <c r="D188" s="2" t="s">
        <v>20</v>
      </c>
      <c r="E188" s="2" t="s">
        <v>26</v>
      </c>
      <c r="F188" s="2" t="s">
        <v>365</v>
      </c>
      <c r="G188" s="3">
        <v>1</v>
      </c>
      <c r="H188" s="4">
        <v>210</v>
      </c>
      <c r="I188" s="4">
        <v>210</v>
      </c>
      <c r="J188" s="2" t="s">
        <v>16</v>
      </c>
      <c r="K188" t="str">
        <f t="shared" si="6"/>
        <v>Jul</v>
      </c>
      <c r="L188">
        <f t="shared" si="7"/>
        <v>2024</v>
      </c>
      <c r="M188" t="str">
        <f t="shared" si="8"/>
        <v>Normal</v>
      </c>
    </row>
    <row r="189" spans="1:13" x14ac:dyDescent="0.3">
      <c r="A189" s="5" t="s">
        <v>314</v>
      </c>
      <c r="B189" s="6" t="s">
        <v>315</v>
      </c>
      <c r="C189" s="5" t="s">
        <v>86</v>
      </c>
      <c r="D189" s="5" t="s">
        <v>74</v>
      </c>
      <c r="E189" s="5" t="s">
        <v>14</v>
      </c>
      <c r="F189" s="5" t="s">
        <v>366</v>
      </c>
      <c r="G189" s="6">
        <v>4</v>
      </c>
      <c r="H189" s="7">
        <v>630</v>
      </c>
      <c r="I189" s="7">
        <v>2520</v>
      </c>
      <c r="J189" s="5" t="s">
        <v>28</v>
      </c>
      <c r="K189" t="str">
        <f t="shared" si="6"/>
        <v>Apr</v>
      </c>
      <c r="L189">
        <f t="shared" si="7"/>
        <v>2024</v>
      </c>
      <c r="M189" t="str">
        <f t="shared" si="8"/>
        <v>Normal</v>
      </c>
    </row>
    <row r="190" spans="1:13" x14ac:dyDescent="0.3">
      <c r="A190" s="2" t="s">
        <v>39</v>
      </c>
      <c r="B190" s="3" t="s">
        <v>40</v>
      </c>
      <c r="C190" s="2" t="s">
        <v>145</v>
      </c>
      <c r="D190" s="2" t="s">
        <v>20</v>
      </c>
      <c r="E190" s="2" t="s">
        <v>48</v>
      </c>
      <c r="F190" s="2" t="s">
        <v>367</v>
      </c>
      <c r="G190" s="3">
        <v>5</v>
      </c>
      <c r="H190" s="4">
        <v>490</v>
      </c>
      <c r="I190" s="4">
        <v>2450</v>
      </c>
      <c r="J190" s="2" t="s">
        <v>28</v>
      </c>
      <c r="K190" t="str">
        <f t="shared" si="6"/>
        <v>Aug</v>
      </c>
      <c r="L190">
        <f t="shared" si="7"/>
        <v>2024</v>
      </c>
      <c r="M190" t="str">
        <f t="shared" si="8"/>
        <v>Normal</v>
      </c>
    </row>
    <row r="191" spans="1:13" x14ac:dyDescent="0.3">
      <c r="A191" s="5" t="s">
        <v>163</v>
      </c>
      <c r="B191" s="6" t="s">
        <v>164</v>
      </c>
      <c r="C191" s="5" t="s">
        <v>234</v>
      </c>
      <c r="D191" s="5" t="s">
        <v>42</v>
      </c>
      <c r="E191" s="5" t="s">
        <v>14</v>
      </c>
      <c r="F191" s="5" t="s">
        <v>265</v>
      </c>
      <c r="G191" s="6">
        <v>2</v>
      </c>
      <c r="H191" s="7">
        <v>380</v>
      </c>
      <c r="I191" s="7">
        <v>760</v>
      </c>
      <c r="J191" s="5" t="s">
        <v>28</v>
      </c>
      <c r="K191" t="str">
        <f t="shared" si="6"/>
        <v>Nov</v>
      </c>
      <c r="L191">
        <f t="shared" si="7"/>
        <v>2024</v>
      </c>
      <c r="M191" t="str">
        <f t="shared" si="8"/>
        <v>Normal</v>
      </c>
    </row>
    <row r="192" spans="1:13" x14ac:dyDescent="0.3">
      <c r="A192" s="2" t="s">
        <v>206</v>
      </c>
      <c r="B192" s="3" t="s">
        <v>207</v>
      </c>
      <c r="C192" s="2" t="s">
        <v>90</v>
      </c>
      <c r="D192" s="2" t="s">
        <v>47</v>
      </c>
      <c r="E192" s="2" t="s">
        <v>33</v>
      </c>
      <c r="F192" s="2" t="s">
        <v>368</v>
      </c>
      <c r="G192" s="3">
        <v>5</v>
      </c>
      <c r="H192" s="4">
        <v>640</v>
      </c>
      <c r="I192" s="4">
        <v>3200</v>
      </c>
      <c r="J192" s="2" t="s">
        <v>28</v>
      </c>
      <c r="K192" t="str">
        <f t="shared" si="6"/>
        <v>Feb</v>
      </c>
      <c r="L192">
        <f t="shared" si="7"/>
        <v>2024</v>
      </c>
      <c r="M192" t="str">
        <f t="shared" si="8"/>
        <v>Normal</v>
      </c>
    </row>
    <row r="193" spans="1:13" x14ac:dyDescent="0.3">
      <c r="A193" s="5" t="s">
        <v>263</v>
      </c>
      <c r="B193" s="6" t="s">
        <v>264</v>
      </c>
      <c r="C193" s="5" t="s">
        <v>25</v>
      </c>
      <c r="D193" s="5" t="s">
        <v>20</v>
      </c>
      <c r="E193" s="5" t="s">
        <v>48</v>
      </c>
      <c r="F193" s="5" t="s">
        <v>369</v>
      </c>
      <c r="G193" s="6">
        <v>5</v>
      </c>
      <c r="H193" s="7">
        <v>190</v>
      </c>
      <c r="I193" s="7">
        <v>950</v>
      </c>
      <c r="J193" s="5" t="s">
        <v>22</v>
      </c>
      <c r="K193" t="str">
        <f t="shared" si="6"/>
        <v>Mar</v>
      </c>
      <c r="L193">
        <f t="shared" si="7"/>
        <v>2024</v>
      </c>
      <c r="M193" t="str">
        <f t="shared" si="8"/>
        <v>Normal</v>
      </c>
    </row>
    <row r="194" spans="1:13" x14ac:dyDescent="0.3">
      <c r="A194" s="2" t="s">
        <v>55</v>
      </c>
      <c r="B194" s="3" t="s">
        <v>56</v>
      </c>
      <c r="C194" s="2" t="s">
        <v>252</v>
      </c>
      <c r="D194" s="2" t="s">
        <v>20</v>
      </c>
      <c r="E194" s="2" t="s">
        <v>33</v>
      </c>
      <c r="F194" s="2" t="s">
        <v>199</v>
      </c>
      <c r="G194" s="3">
        <v>1</v>
      </c>
      <c r="H194" s="4">
        <v>480</v>
      </c>
      <c r="I194" s="4">
        <v>480</v>
      </c>
      <c r="J194" s="2" t="s">
        <v>28</v>
      </c>
      <c r="K194" t="str">
        <f t="shared" si="6"/>
        <v>Jul</v>
      </c>
      <c r="L194">
        <f t="shared" si="7"/>
        <v>2024</v>
      </c>
      <c r="M194" t="str">
        <f t="shared" si="8"/>
        <v>Normal</v>
      </c>
    </row>
    <row r="195" spans="1:13" x14ac:dyDescent="0.3">
      <c r="A195" s="5" t="s">
        <v>303</v>
      </c>
      <c r="B195" s="6" t="s">
        <v>304</v>
      </c>
      <c r="C195" s="5" t="s">
        <v>248</v>
      </c>
      <c r="D195" s="5" t="s">
        <v>13</v>
      </c>
      <c r="E195" s="5" t="s">
        <v>14</v>
      </c>
      <c r="F195" s="5" t="s">
        <v>332</v>
      </c>
      <c r="G195" s="6">
        <v>1</v>
      </c>
      <c r="H195" s="7">
        <v>180</v>
      </c>
      <c r="I195" s="7">
        <v>180</v>
      </c>
      <c r="J195" s="5" t="s">
        <v>22</v>
      </c>
      <c r="K195" t="str">
        <f t="shared" ref="K195:K221" si="9">TEXT(F195,"mmm")</f>
        <v>Jul</v>
      </c>
      <c r="L195">
        <f t="shared" ref="L195:L221" si="10">YEAR(F195)</f>
        <v>2024</v>
      </c>
      <c r="M195" t="str">
        <f t="shared" ref="M195:M221" si="11">IF(I195&gt;10000,"High","Normal")</f>
        <v>Normal</v>
      </c>
    </row>
    <row r="196" spans="1:13" x14ac:dyDescent="0.3">
      <c r="A196" s="2" t="s">
        <v>370</v>
      </c>
      <c r="B196" s="3" t="s">
        <v>371</v>
      </c>
      <c r="C196" s="2" t="s">
        <v>31</v>
      </c>
      <c r="D196" s="2" t="s">
        <v>32</v>
      </c>
      <c r="E196" s="2" t="s">
        <v>26</v>
      </c>
      <c r="F196" s="2" t="s">
        <v>150</v>
      </c>
      <c r="G196" s="3">
        <v>2</v>
      </c>
      <c r="H196" s="4">
        <v>13760</v>
      </c>
      <c r="I196" s="4">
        <v>27520</v>
      </c>
      <c r="J196" s="2" t="s">
        <v>28</v>
      </c>
      <c r="K196" t="str">
        <f t="shared" si="9"/>
        <v>Jan</v>
      </c>
      <c r="L196">
        <f t="shared" si="10"/>
        <v>2024</v>
      </c>
      <c r="M196" t="str">
        <f t="shared" si="11"/>
        <v>High</v>
      </c>
    </row>
    <row r="197" spans="1:13" x14ac:dyDescent="0.3">
      <c r="A197" s="5" t="s">
        <v>372</v>
      </c>
      <c r="B197" s="6" t="s">
        <v>373</v>
      </c>
      <c r="C197" s="5" t="s">
        <v>252</v>
      </c>
      <c r="D197" s="5" t="s">
        <v>20</v>
      </c>
      <c r="E197" s="5" t="s">
        <v>33</v>
      </c>
      <c r="F197" s="5" t="s">
        <v>374</v>
      </c>
      <c r="G197" s="6">
        <v>1</v>
      </c>
      <c r="H197" s="7">
        <v>440</v>
      </c>
      <c r="I197" s="7">
        <v>440</v>
      </c>
      <c r="J197" s="5" t="s">
        <v>28</v>
      </c>
      <c r="K197" t="str">
        <f t="shared" si="9"/>
        <v>Feb</v>
      </c>
      <c r="L197">
        <f t="shared" si="10"/>
        <v>2024</v>
      </c>
      <c r="M197" t="str">
        <f t="shared" si="11"/>
        <v>Normal</v>
      </c>
    </row>
    <row r="198" spans="1:13" x14ac:dyDescent="0.3">
      <c r="A198" s="2" t="s">
        <v>236</v>
      </c>
      <c r="B198" s="3" t="s">
        <v>237</v>
      </c>
      <c r="C198" s="2" t="s">
        <v>25</v>
      </c>
      <c r="D198" s="2" t="s">
        <v>20</v>
      </c>
      <c r="E198" s="2" t="s">
        <v>48</v>
      </c>
      <c r="F198" s="2" t="s">
        <v>375</v>
      </c>
      <c r="G198" s="3">
        <v>5</v>
      </c>
      <c r="H198" s="4">
        <v>200</v>
      </c>
      <c r="I198" s="4">
        <v>1000</v>
      </c>
      <c r="J198" s="2" t="s">
        <v>22</v>
      </c>
      <c r="K198" t="str">
        <f t="shared" si="9"/>
        <v>Sep</v>
      </c>
      <c r="L198">
        <f t="shared" si="10"/>
        <v>2024</v>
      </c>
      <c r="M198" t="str">
        <f t="shared" si="11"/>
        <v>Normal</v>
      </c>
    </row>
    <row r="199" spans="1:13" x14ac:dyDescent="0.3">
      <c r="A199" s="5" t="s">
        <v>166</v>
      </c>
      <c r="B199" s="6" t="s">
        <v>73</v>
      </c>
      <c r="C199" s="5" t="s">
        <v>286</v>
      </c>
      <c r="D199" s="5" t="s">
        <v>53</v>
      </c>
      <c r="E199" s="5" t="s">
        <v>48</v>
      </c>
      <c r="F199" s="5" t="s">
        <v>376</v>
      </c>
      <c r="G199" s="6">
        <v>2</v>
      </c>
      <c r="H199" s="7">
        <v>2310</v>
      </c>
      <c r="I199" s="7">
        <v>4620</v>
      </c>
      <c r="J199" s="5" t="s">
        <v>22</v>
      </c>
      <c r="K199" t="str">
        <f t="shared" si="9"/>
        <v>Aug</v>
      </c>
      <c r="L199">
        <f t="shared" si="10"/>
        <v>2024</v>
      </c>
      <c r="M199" t="str">
        <f t="shared" si="11"/>
        <v>Normal</v>
      </c>
    </row>
    <row r="200" spans="1:13" x14ac:dyDescent="0.3">
      <c r="A200" s="2" t="s">
        <v>10</v>
      </c>
      <c r="B200" s="3" t="s">
        <v>11</v>
      </c>
      <c r="C200" s="2" t="s">
        <v>252</v>
      </c>
      <c r="D200" s="2" t="s">
        <v>20</v>
      </c>
      <c r="E200" s="2" t="s">
        <v>14</v>
      </c>
      <c r="F200" s="2" t="s">
        <v>377</v>
      </c>
      <c r="G200" s="3">
        <v>1</v>
      </c>
      <c r="H200" s="4">
        <v>460</v>
      </c>
      <c r="I200" s="4">
        <v>460</v>
      </c>
      <c r="J200" s="2" t="s">
        <v>16</v>
      </c>
      <c r="K200" t="str">
        <f t="shared" si="9"/>
        <v>Nov</v>
      </c>
      <c r="L200">
        <f t="shared" si="10"/>
        <v>2024</v>
      </c>
      <c r="M200" t="str">
        <f t="shared" si="11"/>
        <v>Normal</v>
      </c>
    </row>
    <row r="201" spans="1:13" x14ac:dyDescent="0.3">
      <c r="A201" s="5" t="s">
        <v>179</v>
      </c>
      <c r="B201" s="6" t="s">
        <v>180</v>
      </c>
      <c r="C201" s="5" t="s">
        <v>12</v>
      </c>
      <c r="D201" s="5" t="s">
        <v>13</v>
      </c>
      <c r="E201" s="5" t="s">
        <v>48</v>
      </c>
      <c r="F201" s="5" t="s">
        <v>378</v>
      </c>
      <c r="G201" s="6">
        <v>3</v>
      </c>
      <c r="H201" s="7">
        <v>320</v>
      </c>
      <c r="I201" s="7">
        <v>960</v>
      </c>
      <c r="J201" s="5" t="s">
        <v>22</v>
      </c>
      <c r="K201" t="str">
        <f t="shared" si="9"/>
        <v>May</v>
      </c>
      <c r="L201">
        <f t="shared" si="10"/>
        <v>2024</v>
      </c>
      <c r="M201" t="str">
        <f t="shared" si="11"/>
        <v>Normal</v>
      </c>
    </row>
    <row r="202" spans="1:13" x14ac:dyDescent="0.3">
      <c r="A202" s="2" t="s">
        <v>263</v>
      </c>
      <c r="B202" s="3" t="s">
        <v>264</v>
      </c>
      <c r="C202" s="2" t="s">
        <v>105</v>
      </c>
      <c r="D202" s="2" t="s">
        <v>42</v>
      </c>
      <c r="E202" s="2" t="s">
        <v>33</v>
      </c>
      <c r="F202" s="2" t="s">
        <v>317</v>
      </c>
      <c r="G202" s="3">
        <v>5</v>
      </c>
      <c r="H202" s="4">
        <v>1190</v>
      </c>
      <c r="I202" s="4">
        <v>5950</v>
      </c>
      <c r="J202" s="2" t="s">
        <v>28</v>
      </c>
      <c r="K202" t="str">
        <f t="shared" si="9"/>
        <v>Oct</v>
      </c>
      <c r="L202">
        <f t="shared" si="10"/>
        <v>2024</v>
      </c>
      <c r="M202" t="str">
        <f t="shared" si="11"/>
        <v>Normal</v>
      </c>
    </row>
    <row r="203" spans="1:13" x14ac:dyDescent="0.3">
      <c r="A203" s="5" t="s">
        <v>39</v>
      </c>
      <c r="B203" s="6" t="s">
        <v>40</v>
      </c>
      <c r="C203" s="5" t="s">
        <v>70</v>
      </c>
      <c r="D203" s="5" t="s">
        <v>32</v>
      </c>
      <c r="E203" s="5" t="s">
        <v>26</v>
      </c>
      <c r="F203" s="5" t="s">
        <v>379</v>
      </c>
      <c r="G203" s="6">
        <v>3</v>
      </c>
      <c r="H203" s="7">
        <v>2740</v>
      </c>
      <c r="I203" s="7">
        <v>8220</v>
      </c>
      <c r="J203" s="5" t="s">
        <v>22</v>
      </c>
      <c r="K203" t="str">
        <f t="shared" si="9"/>
        <v>Jan</v>
      </c>
      <c r="L203">
        <f t="shared" si="10"/>
        <v>2024</v>
      </c>
      <c r="M203" t="str">
        <f t="shared" si="11"/>
        <v>Normal</v>
      </c>
    </row>
    <row r="204" spans="1:13" x14ac:dyDescent="0.3">
      <c r="A204" s="2" t="s">
        <v>114</v>
      </c>
      <c r="B204" s="3" t="s">
        <v>115</v>
      </c>
      <c r="C204" s="2" t="s">
        <v>52</v>
      </c>
      <c r="D204" s="2" t="s">
        <v>53</v>
      </c>
      <c r="E204" s="2" t="s">
        <v>33</v>
      </c>
      <c r="F204" s="2" t="s">
        <v>119</v>
      </c>
      <c r="G204" s="3">
        <v>3</v>
      </c>
      <c r="H204" s="4">
        <v>1260</v>
      </c>
      <c r="I204" s="4">
        <v>3780</v>
      </c>
      <c r="J204" s="2" t="s">
        <v>28</v>
      </c>
      <c r="K204" t="str">
        <f t="shared" si="9"/>
        <v>Mar</v>
      </c>
      <c r="L204">
        <f t="shared" si="10"/>
        <v>2024</v>
      </c>
      <c r="M204" t="str">
        <f t="shared" si="11"/>
        <v>Normal</v>
      </c>
    </row>
    <row r="205" spans="1:13" x14ac:dyDescent="0.3">
      <c r="A205" s="5" t="s">
        <v>92</v>
      </c>
      <c r="B205" s="6" t="s">
        <v>93</v>
      </c>
      <c r="C205" s="5" t="s">
        <v>149</v>
      </c>
      <c r="D205" s="5" t="s">
        <v>13</v>
      </c>
      <c r="E205" s="5" t="s">
        <v>48</v>
      </c>
      <c r="F205" s="5" t="s">
        <v>380</v>
      </c>
      <c r="G205" s="6">
        <v>4</v>
      </c>
      <c r="H205" s="7">
        <v>410</v>
      </c>
      <c r="I205" s="7">
        <v>1640</v>
      </c>
      <c r="J205" s="5" t="s">
        <v>16</v>
      </c>
      <c r="K205" t="str">
        <f t="shared" si="9"/>
        <v>Dec</v>
      </c>
      <c r="L205">
        <f t="shared" si="10"/>
        <v>2024</v>
      </c>
      <c r="M205" t="str">
        <f t="shared" si="11"/>
        <v>Normal</v>
      </c>
    </row>
    <row r="206" spans="1:13" x14ac:dyDescent="0.3">
      <c r="A206" s="2" t="s">
        <v>291</v>
      </c>
      <c r="B206" s="3" t="s">
        <v>292</v>
      </c>
      <c r="C206" s="2" t="s">
        <v>25</v>
      </c>
      <c r="D206" s="2" t="s">
        <v>20</v>
      </c>
      <c r="E206" s="2" t="s">
        <v>26</v>
      </c>
      <c r="F206" s="2" t="s">
        <v>381</v>
      </c>
      <c r="G206" s="3">
        <v>4</v>
      </c>
      <c r="H206" s="4">
        <v>180</v>
      </c>
      <c r="I206" s="4">
        <v>720</v>
      </c>
      <c r="J206" s="2" t="s">
        <v>22</v>
      </c>
      <c r="K206" t="str">
        <f t="shared" si="9"/>
        <v>Jan</v>
      </c>
      <c r="L206">
        <f t="shared" si="10"/>
        <v>2024</v>
      </c>
      <c r="M206" t="str">
        <f t="shared" si="11"/>
        <v>Normal</v>
      </c>
    </row>
    <row r="207" spans="1:13" x14ac:dyDescent="0.3">
      <c r="A207" s="5" t="s">
        <v>123</v>
      </c>
      <c r="B207" s="6" t="s">
        <v>124</v>
      </c>
      <c r="C207" s="5" t="s">
        <v>145</v>
      </c>
      <c r="D207" s="5" t="s">
        <v>20</v>
      </c>
      <c r="E207" s="5" t="s">
        <v>48</v>
      </c>
      <c r="F207" s="5" t="s">
        <v>361</v>
      </c>
      <c r="G207" s="6">
        <v>3</v>
      </c>
      <c r="H207" s="7">
        <v>540</v>
      </c>
      <c r="I207" s="7">
        <v>1620</v>
      </c>
      <c r="J207" s="5" t="s">
        <v>16</v>
      </c>
      <c r="K207" t="str">
        <f t="shared" si="9"/>
        <v>Jun</v>
      </c>
      <c r="L207">
        <f t="shared" si="10"/>
        <v>2024</v>
      </c>
      <c r="M207" t="str">
        <f t="shared" si="11"/>
        <v>Normal</v>
      </c>
    </row>
    <row r="208" spans="1:13" x14ac:dyDescent="0.3">
      <c r="A208" s="2" t="s">
        <v>39</v>
      </c>
      <c r="B208" s="3" t="s">
        <v>40</v>
      </c>
      <c r="C208" s="2" t="s">
        <v>157</v>
      </c>
      <c r="D208" s="2" t="s">
        <v>13</v>
      </c>
      <c r="E208" s="2" t="s">
        <v>26</v>
      </c>
      <c r="F208" s="2" t="s">
        <v>87</v>
      </c>
      <c r="G208" s="3">
        <v>2</v>
      </c>
      <c r="H208" s="4">
        <v>470</v>
      </c>
      <c r="I208" s="4">
        <v>940</v>
      </c>
      <c r="J208" s="2" t="s">
        <v>22</v>
      </c>
      <c r="K208" t="str">
        <f t="shared" si="9"/>
        <v>May</v>
      </c>
      <c r="L208">
        <f t="shared" si="10"/>
        <v>2024</v>
      </c>
      <c r="M208" t="str">
        <f t="shared" si="11"/>
        <v>Normal</v>
      </c>
    </row>
    <row r="209" spans="1:13" x14ac:dyDescent="0.3">
      <c r="A209" s="5" t="s">
        <v>58</v>
      </c>
      <c r="B209" s="6" t="s">
        <v>59</v>
      </c>
      <c r="C209" s="5" t="s">
        <v>256</v>
      </c>
      <c r="D209" s="5" t="s">
        <v>13</v>
      </c>
      <c r="E209" s="5" t="s">
        <v>48</v>
      </c>
      <c r="F209" s="5" t="s">
        <v>146</v>
      </c>
      <c r="G209" s="6">
        <v>4</v>
      </c>
      <c r="H209" s="7">
        <v>740</v>
      </c>
      <c r="I209" s="7">
        <v>2960</v>
      </c>
      <c r="J209" s="5" t="s">
        <v>28</v>
      </c>
      <c r="K209" t="str">
        <f t="shared" si="9"/>
        <v>Jul</v>
      </c>
      <c r="L209">
        <f t="shared" si="10"/>
        <v>2024</v>
      </c>
      <c r="M209" t="str">
        <f t="shared" si="11"/>
        <v>Normal</v>
      </c>
    </row>
    <row r="210" spans="1:13" x14ac:dyDescent="0.3">
      <c r="A210" s="2" t="s">
        <v>362</v>
      </c>
      <c r="B210" s="3" t="s">
        <v>363</v>
      </c>
      <c r="C210" s="2" t="s">
        <v>189</v>
      </c>
      <c r="D210" s="2" t="s">
        <v>53</v>
      </c>
      <c r="E210" s="2" t="s">
        <v>26</v>
      </c>
      <c r="F210" s="2" t="s">
        <v>382</v>
      </c>
      <c r="G210" s="3">
        <v>3</v>
      </c>
      <c r="H210" s="4">
        <v>3630</v>
      </c>
      <c r="I210" s="4">
        <v>10890</v>
      </c>
      <c r="J210" s="2" t="s">
        <v>22</v>
      </c>
      <c r="K210" t="str">
        <f t="shared" si="9"/>
        <v>Sep</v>
      </c>
      <c r="L210">
        <f t="shared" si="10"/>
        <v>2024</v>
      </c>
      <c r="M210" t="str">
        <f t="shared" si="11"/>
        <v>High</v>
      </c>
    </row>
    <row r="211" spans="1:13" x14ac:dyDescent="0.3">
      <c r="A211" s="5" t="s">
        <v>126</v>
      </c>
      <c r="B211" s="6" t="s">
        <v>127</v>
      </c>
      <c r="C211" s="5" t="s">
        <v>70</v>
      </c>
      <c r="D211" s="5" t="s">
        <v>32</v>
      </c>
      <c r="E211" s="5" t="s">
        <v>26</v>
      </c>
      <c r="F211" s="5" t="s">
        <v>129</v>
      </c>
      <c r="G211" s="6">
        <v>2</v>
      </c>
      <c r="H211" s="7">
        <v>2550</v>
      </c>
      <c r="I211" s="7">
        <v>5100</v>
      </c>
      <c r="J211" s="5" t="s">
        <v>28</v>
      </c>
      <c r="K211" t="str">
        <f t="shared" si="9"/>
        <v>Oct</v>
      </c>
      <c r="L211">
        <f t="shared" si="10"/>
        <v>2024</v>
      </c>
      <c r="M211" t="str">
        <f t="shared" si="11"/>
        <v>Normal</v>
      </c>
    </row>
    <row r="212" spans="1:13" x14ac:dyDescent="0.3">
      <c r="A212" s="2" t="s">
        <v>17</v>
      </c>
      <c r="B212" s="3" t="s">
        <v>18</v>
      </c>
      <c r="C212" s="2" t="s">
        <v>31</v>
      </c>
      <c r="D212" s="2" t="s">
        <v>32</v>
      </c>
      <c r="E212" s="2" t="s">
        <v>48</v>
      </c>
      <c r="F212" s="2" t="s">
        <v>383</v>
      </c>
      <c r="G212" s="3">
        <v>3</v>
      </c>
      <c r="H212" s="4">
        <v>13420</v>
      </c>
      <c r="I212" s="4">
        <v>40260</v>
      </c>
      <c r="J212" s="2" t="s">
        <v>22</v>
      </c>
      <c r="K212" t="str">
        <f t="shared" si="9"/>
        <v>Aug</v>
      </c>
      <c r="L212">
        <f t="shared" si="10"/>
        <v>2024</v>
      </c>
      <c r="M212" t="str">
        <f t="shared" si="11"/>
        <v>High</v>
      </c>
    </row>
    <row r="213" spans="1:13" x14ac:dyDescent="0.3">
      <c r="A213" s="5" t="s">
        <v>76</v>
      </c>
      <c r="B213" s="6" t="s">
        <v>77</v>
      </c>
      <c r="C213" s="5" t="s">
        <v>299</v>
      </c>
      <c r="D213" s="5" t="s">
        <v>13</v>
      </c>
      <c r="E213" s="5" t="s">
        <v>48</v>
      </c>
      <c r="F213" s="5" t="s">
        <v>384</v>
      </c>
      <c r="G213" s="6">
        <v>3</v>
      </c>
      <c r="H213" s="7">
        <v>110</v>
      </c>
      <c r="I213" s="7">
        <v>330</v>
      </c>
      <c r="J213" s="5" t="s">
        <v>28</v>
      </c>
      <c r="K213" t="str">
        <f t="shared" si="9"/>
        <v>Nov</v>
      </c>
      <c r="L213">
        <f t="shared" si="10"/>
        <v>2024</v>
      </c>
      <c r="M213" t="str">
        <f t="shared" si="11"/>
        <v>Normal</v>
      </c>
    </row>
    <row r="214" spans="1:13" x14ac:dyDescent="0.3">
      <c r="A214" s="2" t="s">
        <v>385</v>
      </c>
      <c r="B214" s="3" t="s">
        <v>386</v>
      </c>
      <c r="C214" s="2" t="s">
        <v>70</v>
      </c>
      <c r="D214" s="2" t="s">
        <v>32</v>
      </c>
      <c r="E214" s="2" t="s">
        <v>14</v>
      </c>
      <c r="F214" s="2" t="s">
        <v>387</v>
      </c>
      <c r="G214" s="3">
        <v>2</v>
      </c>
      <c r="H214" s="4">
        <v>2430</v>
      </c>
      <c r="I214" s="4">
        <v>4860</v>
      </c>
      <c r="J214" s="2" t="s">
        <v>16</v>
      </c>
      <c r="K214" t="str">
        <f t="shared" si="9"/>
        <v>Jan</v>
      </c>
      <c r="L214">
        <f t="shared" si="10"/>
        <v>2024</v>
      </c>
      <c r="M214" t="str">
        <f t="shared" si="11"/>
        <v>Normal</v>
      </c>
    </row>
    <row r="215" spans="1:13" x14ac:dyDescent="0.3">
      <c r="A215" s="5" t="s">
        <v>76</v>
      </c>
      <c r="B215" s="6" t="s">
        <v>77</v>
      </c>
      <c r="C215" s="5" t="s">
        <v>97</v>
      </c>
      <c r="D215" s="5" t="s">
        <v>32</v>
      </c>
      <c r="E215" s="5" t="s">
        <v>48</v>
      </c>
      <c r="F215" s="5" t="s">
        <v>274</v>
      </c>
      <c r="G215" s="6">
        <v>3</v>
      </c>
      <c r="H215" s="7">
        <v>3200</v>
      </c>
      <c r="I215" s="7">
        <v>9600</v>
      </c>
      <c r="J215" s="5" t="s">
        <v>16</v>
      </c>
      <c r="K215" t="str">
        <f t="shared" si="9"/>
        <v>Jul</v>
      </c>
      <c r="L215">
        <f t="shared" si="10"/>
        <v>2024</v>
      </c>
      <c r="M215" t="str">
        <f t="shared" si="11"/>
        <v>Normal</v>
      </c>
    </row>
    <row r="216" spans="1:13" x14ac:dyDescent="0.3">
      <c r="A216" s="2" t="s">
        <v>388</v>
      </c>
      <c r="B216" s="3" t="s">
        <v>216</v>
      </c>
      <c r="C216" s="2" t="s">
        <v>41</v>
      </c>
      <c r="D216" s="2" t="s">
        <v>42</v>
      </c>
      <c r="E216" s="2" t="s">
        <v>48</v>
      </c>
      <c r="F216" s="2" t="s">
        <v>389</v>
      </c>
      <c r="G216" s="3">
        <v>3</v>
      </c>
      <c r="H216" s="4">
        <v>360</v>
      </c>
      <c r="I216" s="4">
        <v>1080</v>
      </c>
      <c r="J216" s="2" t="s">
        <v>22</v>
      </c>
      <c r="K216" t="str">
        <f t="shared" si="9"/>
        <v>Jul</v>
      </c>
      <c r="L216">
        <f t="shared" si="10"/>
        <v>2024</v>
      </c>
      <c r="M216" t="str">
        <f t="shared" si="11"/>
        <v>Normal</v>
      </c>
    </row>
    <row r="217" spans="1:13" x14ac:dyDescent="0.3">
      <c r="A217" s="5" t="s">
        <v>62</v>
      </c>
      <c r="B217" s="6" t="s">
        <v>63</v>
      </c>
      <c r="C217" s="5" t="s">
        <v>390</v>
      </c>
      <c r="D217" s="5" t="s">
        <v>53</v>
      </c>
      <c r="E217" s="5" t="s">
        <v>33</v>
      </c>
      <c r="F217" s="5" t="s">
        <v>71</v>
      </c>
      <c r="G217" s="6">
        <v>3</v>
      </c>
      <c r="H217" s="7">
        <v>2940</v>
      </c>
      <c r="I217" s="7">
        <v>8820</v>
      </c>
      <c r="J217" s="5" t="s">
        <v>22</v>
      </c>
      <c r="K217" t="str">
        <f t="shared" si="9"/>
        <v>May</v>
      </c>
      <c r="L217">
        <f t="shared" si="10"/>
        <v>2024</v>
      </c>
      <c r="M217" t="str">
        <f t="shared" si="11"/>
        <v>Normal</v>
      </c>
    </row>
    <row r="218" spans="1:13" x14ac:dyDescent="0.3">
      <c r="A218" s="2" t="s">
        <v>291</v>
      </c>
      <c r="B218" s="3" t="s">
        <v>292</v>
      </c>
      <c r="C218" s="2" t="s">
        <v>200</v>
      </c>
      <c r="D218" s="2" t="s">
        <v>74</v>
      </c>
      <c r="E218" s="2" t="s">
        <v>26</v>
      </c>
      <c r="F218" s="2" t="s">
        <v>15</v>
      </c>
      <c r="G218" s="3">
        <v>1</v>
      </c>
      <c r="H218" s="4">
        <v>490</v>
      </c>
      <c r="I218" s="4">
        <v>490</v>
      </c>
      <c r="J218" s="2" t="s">
        <v>16</v>
      </c>
      <c r="K218" t="str">
        <f t="shared" si="9"/>
        <v>May</v>
      </c>
      <c r="L218">
        <f t="shared" si="10"/>
        <v>2024</v>
      </c>
      <c r="M218" t="str">
        <f t="shared" si="11"/>
        <v>Normal</v>
      </c>
    </row>
    <row r="219" spans="1:13" x14ac:dyDescent="0.3">
      <c r="A219" s="5" t="s">
        <v>187</v>
      </c>
      <c r="B219" s="6" t="s">
        <v>188</v>
      </c>
      <c r="C219" s="5" t="s">
        <v>286</v>
      </c>
      <c r="D219" s="5" t="s">
        <v>53</v>
      </c>
      <c r="E219" s="5" t="s">
        <v>33</v>
      </c>
      <c r="F219" s="5" t="s">
        <v>142</v>
      </c>
      <c r="G219" s="6">
        <v>4</v>
      </c>
      <c r="H219" s="7">
        <v>2600</v>
      </c>
      <c r="I219" s="7">
        <v>10400</v>
      </c>
      <c r="J219" s="5" t="s">
        <v>22</v>
      </c>
      <c r="K219" t="str">
        <f t="shared" si="9"/>
        <v>Apr</v>
      </c>
      <c r="L219">
        <f t="shared" si="10"/>
        <v>2024</v>
      </c>
      <c r="M219" t="str">
        <f t="shared" si="11"/>
        <v>High</v>
      </c>
    </row>
    <row r="220" spans="1:13" x14ac:dyDescent="0.3">
      <c r="A220" s="2" t="s">
        <v>352</v>
      </c>
      <c r="B220" s="3" t="s">
        <v>353</v>
      </c>
      <c r="C220" s="2" t="s">
        <v>68</v>
      </c>
      <c r="D220" s="2" t="s">
        <v>74</v>
      </c>
      <c r="E220" s="2" t="s">
        <v>26</v>
      </c>
      <c r="F220" s="2" t="s">
        <v>391</v>
      </c>
      <c r="G220" s="3">
        <v>4</v>
      </c>
      <c r="H220" s="4">
        <v>320</v>
      </c>
      <c r="I220" s="4">
        <v>1280</v>
      </c>
      <c r="J220" s="2" t="s">
        <v>16</v>
      </c>
      <c r="K220" t="str">
        <f t="shared" si="9"/>
        <v>Feb</v>
      </c>
      <c r="L220">
        <f t="shared" si="10"/>
        <v>2024</v>
      </c>
      <c r="M220" t="str">
        <f t="shared" si="11"/>
        <v>Normal</v>
      </c>
    </row>
    <row r="221" spans="1:13" x14ac:dyDescent="0.3">
      <c r="A221" s="5" t="s">
        <v>114</v>
      </c>
      <c r="B221" s="6" t="s">
        <v>115</v>
      </c>
      <c r="C221" s="5" t="s">
        <v>217</v>
      </c>
      <c r="D221" s="5" t="s">
        <v>47</v>
      </c>
      <c r="E221" s="5" t="s">
        <v>14</v>
      </c>
      <c r="F221" s="5" t="s">
        <v>159</v>
      </c>
      <c r="G221" s="6">
        <v>3</v>
      </c>
      <c r="H221" s="7">
        <v>1510</v>
      </c>
      <c r="I221" s="7">
        <v>4530</v>
      </c>
      <c r="J221" s="5" t="s">
        <v>16</v>
      </c>
      <c r="K221" t="str">
        <f t="shared" si="9"/>
        <v>Jun</v>
      </c>
      <c r="L221">
        <f t="shared" si="10"/>
        <v>2024</v>
      </c>
      <c r="M221" t="str">
        <f t="shared" si="11"/>
        <v>Normal</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8368-9D95-42EB-90F2-2CC28DF0F621}">
  <dimension ref="A1:R30"/>
  <sheetViews>
    <sheetView workbookViewId="0">
      <selection activeCell="K19" sqref="K19"/>
    </sheetView>
  </sheetViews>
  <sheetFormatPr defaultRowHeight="14.4" x14ac:dyDescent="0.3"/>
  <cols>
    <col min="1" max="1" width="10.6640625" bestFit="1" customWidth="1"/>
    <col min="2" max="2" width="14.77734375" bestFit="1" customWidth="1"/>
    <col min="3" max="3" width="16.109375" bestFit="1" customWidth="1"/>
    <col min="4" max="4" width="9.88671875" bestFit="1" customWidth="1"/>
    <col min="5" max="5" width="6.5546875" bestFit="1" customWidth="1"/>
    <col min="6" max="6" width="10.33203125" bestFit="1" customWidth="1"/>
    <col min="7" max="7" width="3.88671875" bestFit="1" customWidth="1"/>
    <col min="8" max="8" width="6" style="14" bestFit="1" customWidth="1"/>
    <col min="9" max="9" width="11.88671875" style="12" bestFit="1" customWidth="1"/>
    <col min="10" max="10" width="8.109375" bestFit="1" customWidth="1"/>
    <col min="11" max="11" width="6.44140625" bestFit="1" customWidth="1"/>
    <col min="12" max="12" width="5" bestFit="1" customWidth="1"/>
    <col min="13" max="13" width="5.5546875" bestFit="1" customWidth="1"/>
  </cols>
  <sheetData>
    <row r="1" spans="1:18" ht="18" customHeight="1" thickBot="1" x14ac:dyDescent="0.5">
      <c r="A1" s="30" t="s">
        <v>395</v>
      </c>
      <c r="B1" s="31"/>
      <c r="C1" s="31"/>
      <c r="D1" s="31"/>
      <c r="E1" s="31"/>
      <c r="F1" s="31"/>
      <c r="G1" s="31"/>
      <c r="H1" s="31"/>
      <c r="I1" s="31"/>
      <c r="J1" s="31"/>
      <c r="K1" s="31"/>
      <c r="L1" s="31"/>
      <c r="M1" s="32"/>
      <c r="O1" s="27" t="s">
        <v>396</v>
      </c>
      <c r="P1" s="28"/>
      <c r="Q1" s="28"/>
      <c r="R1" s="29"/>
    </row>
    <row r="2" spans="1:18" ht="28.8" customHeight="1" x14ac:dyDescent="0.5">
      <c r="A2" s="15" t="s">
        <v>0</v>
      </c>
      <c r="B2" s="16" t="s">
        <v>1</v>
      </c>
      <c r="C2" s="16" t="s">
        <v>397</v>
      </c>
      <c r="D2" s="16" t="s">
        <v>3</v>
      </c>
      <c r="E2" s="16" t="s">
        <v>4</v>
      </c>
      <c r="F2" s="16" t="s">
        <v>5</v>
      </c>
      <c r="G2" s="16" t="s">
        <v>398</v>
      </c>
      <c r="H2" s="17" t="s">
        <v>399</v>
      </c>
      <c r="I2" s="18" t="s">
        <v>400</v>
      </c>
      <c r="J2" s="16" t="s">
        <v>401</v>
      </c>
      <c r="K2" s="16" t="s">
        <v>392</v>
      </c>
      <c r="L2" s="16" t="s">
        <v>393</v>
      </c>
      <c r="M2" s="19" t="s">
        <v>394</v>
      </c>
      <c r="O2" s="33">
        <f>COUNTA(A4:A500)</f>
        <v>27</v>
      </c>
      <c r="P2" s="34"/>
      <c r="Q2" s="34"/>
      <c r="R2" s="35"/>
    </row>
    <row r="3" spans="1:18" x14ac:dyDescent="0.3">
      <c r="A3" s="20" t="s">
        <v>58</v>
      </c>
      <c r="B3" s="10" t="s">
        <v>59</v>
      </c>
      <c r="C3" s="10" t="s">
        <v>60</v>
      </c>
      <c r="D3" s="10" t="s">
        <v>32</v>
      </c>
      <c r="E3" s="10" t="s">
        <v>14</v>
      </c>
      <c r="F3" s="10" t="s">
        <v>61</v>
      </c>
      <c r="G3" s="10">
        <v>4</v>
      </c>
      <c r="H3" s="13">
        <v>31540</v>
      </c>
      <c r="I3" s="11">
        <v>126160</v>
      </c>
      <c r="J3" s="10" t="s">
        <v>16</v>
      </c>
      <c r="K3" s="10" t="s">
        <v>405</v>
      </c>
      <c r="L3" s="10">
        <v>2024</v>
      </c>
      <c r="M3" s="21" t="s">
        <v>403</v>
      </c>
    </row>
    <row r="4" spans="1:18" x14ac:dyDescent="0.3">
      <c r="A4" s="20" t="s">
        <v>80</v>
      </c>
      <c r="B4" s="10" t="s">
        <v>81</v>
      </c>
      <c r="C4" s="10" t="s">
        <v>37</v>
      </c>
      <c r="D4" s="10" t="s">
        <v>32</v>
      </c>
      <c r="E4" s="10" t="s">
        <v>26</v>
      </c>
      <c r="F4" s="10" t="s">
        <v>350</v>
      </c>
      <c r="G4" s="10">
        <v>2</v>
      </c>
      <c r="H4" s="13">
        <v>55340</v>
      </c>
      <c r="I4" s="11">
        <v>110680</v>
      </c>
      <c r="J4" s="10" t="s">
        <v>16</v>
      </c>
      <c r="K4" s="10" t="s">
        <v>408</v>
      </c>
      <c r="L4" s="10">
        <v>2024</v>
      </c>
      <c r="M4" s="21" t="s">
        <v>403</v>
      </c>
    </row>
    <row r="5" spans="1:18" x14ac:dyDescent="0.3">
      <c r="A5" s="20" t="s">
        <v>76</v>
      </c>
      <c r="B5" s="10" t="s">
        <v>77</v>
      </c>
      <c r="C5" s="10" t="s">
        <v>37</v>
      </c>
      <c r="D5" s="10" t="s">
        <v>32</v>
      </c>
      <c r="E5" s="10" t="s">
        <v>14</v>
      </c>
      <c r="F5" s="10" t="s">
        <v>330</v>
      </c>
      <c r="G5" s="10">
        <v>2</v>
      </c>
      <c r="H5" s="13">
        <v>53040</v>
      </c>
      <c r="I5" s="11">
        <v>106080</v>
      </c>
      <c r="J5" s="10" t="s">
        <v>28</v>
      </c>
      <c r="K5" s="10" t="s">
        <v>411</v>
      </c>
      <c r="L5" s="10">
        <v>2024</v>
      </c>
      <c r="M5" s="21" t="s">
        <v>403</v>
      </c>
    </row>
    <row r="6" spans="1:18" x14ac:dyDescent="0.3">
      <c r="A6" s="20" t="s">
        <v>191</v>
      </c>
      <c r="B6" s="10" t="s">
        <v>192</v>
      </c>
      <c r="C6" s="10" t="s">
        <v>260</v>
      </c>
      <c r="D6" s="10" t="s">
        <v>32</v>
      </c>
      <c r="E6" s="10" t="s">
        <v>14</v>
      </c>
      <c r="F6" s="10" t="s">
        <v>34</v>
      </c>
      <c r="G6" s="10">
        <v>5</v>
      </c>
      <c r="H6" s="13">
        <v>20800</v>
      </c>
      <c r="I6" s="11">
        <v>104000</v>
      </c>
      <c r="J6" s="10" t="s">
        <v>28</v>
      </c>
      <c r="K6" s="10" t="s">
        <v>402</v>
      </c>
      <c r="L6" s="10">
        <v>2024</v>
      </c>
      <c r="M6" s="21" t="s">
        <v>403</v>
      </c>
    </row>
    <row r="7" spans="1:18" x14ac:dyDescent="0.3">
      <c r="A7" s="20" t="s">
        <v>300</v>
      </c>
      <c r="B7" s="10" t="s">
        <v>301</v>
      </c>
      <c r="C7" s="10" t="s">
        <v>260</v>
      </c>
      <c r="D7" s="10" t="s">
        <v>32</v>
      </c>
      <c r="E7" s="10" t="s">
        <v>14</v>
      </c>
      <c r="F7" s="10" t="s">
        <v>344</v>
      </c>
      <c r="G7" s="10">
        <v>4</v>
      </c>
      <c r="H7" s="13">
        <v>18990</v>
      </c>
      <c r="I7" s="11">
        <v>75960</v>
      </c>
      <c r="J7" s="10" t="s">
        <v>28</v>
      </c>
      <c r="K7" s="10" t="s">
        <v>407</v>
      </c>
      <c r="L7" s="10">
        <v>2024</v>
      </c>
      <c r="M7" s="21" t="s">
        <v>403</v>
      </c>
    </row>
    <row r="8" spans="1:18" x14ac:dyDescent="0.3">
      <c r="A8" s="20" t="s">
        <v>114</v>
      </c>
      <c r="B8" s="10" t="s">
        <v>115</v>
      </c>
      <c r="C8" s="10" t="s">
        <v>60</v>
      </c>
      <c r="D8" s="10" t="s">
        <v>32</v>
      </c>
      <c r="E8" s="10" t="s">
        <v>26</v>
      </c>
      <c r="F8" s="10" t="s">
        <v>49</v>
      </c>
      <c r="G8" s="10">
        <v>2</v>
      </c>
      <c r="H8" s="13">
        <v>32140</v>
      </c>
      <c r="I8" s="11">
        <v>64280</v>
      </c>
      <c r="J8" s="10" t="s">
        <v>16</v>
      </c>
      <c r="K8" s="10" t="s">
        <v>406</v>
      </c>
      <c r="L8" s="10">
        <v>2024</v>
      </c>
      <c r="M8" s="21" t="s">
        <v>403</v>
      </c>
    </row>
    <row r="9" spans="1:18" x14ac:dyDescent="0.3">
      <c r="A9" s="20" t="s">
        <v>92</v>
      </c>
      <c r="B9" s="10" t="s">
        <v>93</v>
      </c>
      <c r="C9" s="10" t="s">
        <v>31</v>
      </c>
      <c r="D9" s="10" t="s">
        <v>32</v>
      </c>
      <c r="E9" s="10" t="s">
        <v>14</v>
      </c>
      <c r="F9" s="10" t="s">
        <v>94</v>
      </c>
      <c r="G9" s="10">
        <v>5</v>
      </c>
      <c r="H9" s="13">
        <v>11850</v>
      </c>
      <c r="I9" s="11">
        <v>59250</v>
      </c>
      <c r="J9" s="10" t="s">
        <v>22</v>
      </c>
      <c r="K9" s="10" t="s">
        <v>404</v>
      </c>
      <c r="L9" s="10">
        <v>2024</v>
      </c>
      <c r="M9" s="21" t="s">
        <v>403</v>
      </c>
    </row>
    <row r="10" spans="1:18" x14ac:dyDescent="0.3">
      <c r="A10" s="20" t="s">
        <v>39</v>
      </c>
      <c r="B10" s="10" t="s">
        <v>40</v>
      </c>
      <c r="C10" s="10" t="s">
        <v>37</v>
      </c>
      <c r="D10" s="10" t="s">
        <v>32</v>
      </c>
      <c r="E10" s="10" t="s">
        <v>33</v>
      </c>
      <c r="F10" s="10" t="s">
        <v>333</v>
      </c>
      <c r="G10" s="10">
        <v>1</v>
      </c>
      <c r="H10" s="13">
        <v>58650</v>
      </c>
      <c r="I10" s="11">
        <v>58650</v>
      </c>
      <c r="J10" s="10" t="s">
        <v>16</v>
      </c>
      <c r="K10" s="10" t="s">
        <v>406</v>
      </c>
      <c r="L10" s="10">
        <v>2024</v>
      </c>
      <c r="M10" s="21" t="s">
        <v>403</v>
      </c>
    </row>
    <row r="11" spans="1:18" x14ac:dyDescent="0.3">
      <c r="A11" s="20" t="s">
        <v>35</v>
      </c>
      <c r="B11" s="10" t="s">
        <v>36</v>
      </c>
      <c r="C11" s="10" t="s">
        <v>37</v>
      </c>
      <c r="D11" s="10" t="s">
        <v>32</v>
      </c>
      <c r="E11" s="10" t="s">
        <v>14</v>
      </c>
      <c r="F11" s="10" t="s">
        <v>38</v>
      </c>
      <c r="G11" s="10">
        <v>1</v>
      </c>
      <c r="H11" s="13">
        <v>57550</v>
      </c>
      <c r="I11" s="11">
        <v>57550</v>
      </c>
      <c r="J11" s="10" t="s">
        <v>22</v>
      </c>
      <c r="K11" s="10" t="s">
        <v>404</v>
      </c>
      <c r="L11" s="10">
        <v>2024</v>
      </c>
      <c r="M11" s="21" t="s">
        <v>403</v>
      </c>
    </row>
    <row r="12" spans="1:18" x14ac:dyDescent="0.3">
      <c r="A12" s="20" t="s">
        <v>55</v>
      </c>
      <c r="B12" s="10" t="s">
        <v>56</v>
      </c>
      <c r="C12" s="10" t="s">
        <v>37</v>
      </c>
      <c r="D12" s="10" t="s">
        <v>32</v>
      </c>
      <c r="E12" s="10" t="s">
        <v>33</v>
      </c>
      <c r="F12" s="10" t="s">
        <v>57</v>
      </c>
      <c r="G12" s="10">
        <v>1</v>
      </c>
      <c r="H12" s="13">
        <v>57290</v>
      </c>
      <c r="I12" s="11">
        <v>57290</v>
      </c>
      <c r="J12" s="10" t="s">
        <v>22</v>
      </c>
      <c r="K12" s="10" t="s">
        <v>405</v>
      </c>
      <c r="L12" s="10">
        <v>2024</v>
      </c>
      <c r="M12" s="21" t="s">
        <v>403</v>
      </c>
    </row>
    <row r="13" spans="1:18" x14ac:dyDescent="0.3">
      <c r="A13" s="20" t="s">
        <v>179</v>
      </c>
      <c r="B13" s="10" t="s">
        <v>180</v>
      </c>
      <c r="C13" s="10" t="s">
        <v>260</v>
      </c>
      <c r="D13" s="10" t="s">
        <v>32</v>
      </c>
      <c r="E13" s="10" t="s">
        <v>26</v>
      </c>
      <c r="F13" s="10" t="s">
        <v>261</v>
      </c>
      <c r="G13" s="10">
        <v>3</v>
      </c>
      <c r="H13" s="13">
        <v>17730</v>
      </c>
      <c r="I13" s="11">
        <v>53190</v>
      </c>
      <c r="J13" s="10" t="s">
        <v>28</v>
      </c>
      <c r="K13" s="10" t="s">
        <v>410</v>
      </c>
      <c r="L13" s="10">
        <v>2024</v>
      </c>
      <c r="M13" s="21" t="s">
        <v>403</v>
      </c>
    </row>
    <row r="14" spans="1:18" x14ac:dyDescent="0.3">
      <c r="A14" s="20" t="s">
        <v>123</v>
      </c>
      <c r="B14" s="10" t="s">
        <v>124</v>
      </c>
      <c r="C14" s="10" t="s">
        <v>118</v>
      </c>
      <c r="D14" s="10" t="s">
        <v>32</v>
      </c>
      <c r="E14" s="10" t="s">
        <v>48</v>
      </c>
      <c r="F14" s="10" t="s">
        <v>190</v>
      </c>
      <c r="G14" s="10">
        <v>2</v>
      </c>
      <c r="H14" s="13">
        <v>25990</v>
      </c>
      <c r="I14" s="11">
        <v>51980</v>
      </c>
      <c r="J14" s="10" t="s">
        <v>22</v>
      </c>
      <c r="K14" s="10" t="s">
        <v>409</v>
      </c>
      <c r="L14" s="10">
        <v>2024</v>
      </c>
      <c r="M14" s="21" t="s">
        <v>403</v>
      </c>
    </row>
    <row r="15" spans="1:18" x14ac:dyDescent="0.3">
      <c r="A15" s="20" t="s">
        <v>58</v>
      </c>
      <c r="B15" s="10" t="s">
        <v>59</v>
      </c>
      <c r="C15" s="10" t="s">
        <v>31</v>
      </c>
      <c r="D15" s="10" t="s">
        <v>32</v>
      </c>
      <c r="E15" s="10" t="s">
        <v>26</v>
      </c>
      <c r="F15" s="10" t="s">
        <v>359</v>
      </c>
      <c r="G15" s="10">
        <v>4</v>
      </c>
      <c r="H15" s="13">
        <v>11940</v>
      </c>
      <c r="I15" s="11">
        <v>47760</v>
      </c>
      <c r="J15" s="10" t="s">
        <v>16</v>
      </c>
      <c r="K15" s="10" t="s">
        <v>402</v>
      </c>
      <c r="L15" s="10">
        <v>2024</v>
      </c>
      <c r="M15" s="21" t="s">
        <v>403</v>
      </c>
    </row>
    <row r="16" spans="1:18" x14ac:dyDescent="0.3">
      <c r="A16" s="20" t="s">
        <v>29</v>
      </c>
      <c r="B16" s="10" t="s">
        <v>30</v>
      </c>
      <c r="C16" s="10" t="s">
        <v>31</v>
      </c>
      <c r="D16" s="10" t="s">
        <v>32</v>
      </c>
      <c r="E16" s="10" t="s">
        <v>33</v>
      </c>
      <c r="F16" s="10" t="s">
        <v>34</v>
      </c>
      <c r="G16" s="10">
        <v>3</v>
      </c>
      <c r="H16" s="13">
        <v>13980</v>
      </c>
      <c r="I16" s="11">
        <v>41940</v>
      </c>
      <c r="J16" s="10" t="s">
        <v>22</v>
      </c>
      <c r="K16" s="10" t="s">
        <v>402</v>
      </c>
      <c r="L16" s="10">
        <v>2024</v>
      </c>
      <c r="M16" s="21" t="s">
        <v>403</v>
      </c>
    </row>
    <row r="17" spans="1:13" x14ac:dyDescent="0.3">
      <c r="A17" s="20" t="s">
        <v>123</v>
      </c>
      <c r="B17" s="10" t="s">
        <v>124</v>
      </c>
      <c r="C17" s="10" t="s">
        <v>31</v>
      </c>
      <c r="D17" s="10" t="s">
        <v>32</v>
      </c>
      <c r="E17" s="10" t="s">
        <v>48</v>
      </c>
      <c r="F17" s="10" t="s">
        <v>125</v>
      </c>
      <c r="G17" s="10">
        <v>3</v>
      </c>
      <c r="H17" s="13">
        <v>13700</v>
      </c>
      <c r="I17" s="11">
        <v>41100</v>
      </c>
      <c r="J17" s="10" t="s">
        <v>16</v>
      </c>
      <c r="K17" s="10" t="s">
        <v>407</v>
      </c>
      <c r="L17" s="10">
        <v>2024</v>
      </c>
      <c r="M17" s="21" t="s">
        <v>403</v>
      </c>
    </row>
    <row r="18" spans="1:13" x14ac:dyDescent="0.3">
      <c r="A18" s="20" t="s">
        <v>17</v>
      </c>
      <c r="B18" s="10" t="s">
        <v>18</v>
      </c>
      <c r="C18" s="10" t="s">
        <v>31</v>
      </c>
      <c r="D18" s="10" t="s">
        <v>32</v>
      </c>
      <c r="E18" s="10" t="s">
        <v>48</v>
      </c>
      <c r="F18" s="10" t="s">
        <v>383</v>
      </c>
      <c r="G18" s="10">
        <v>3</v>
      </c>
      <c r="H18" s="13">
        <v>13420</v>
      </c>
      <c r="I18" s="11">
        <v>40260</v>
      </c>
      <c r="J18" s="10" t="s">
        <v>22</v>
      </c>
      <c r="K18" s="10" t="s">
        <v>406</v>
      </c>
      <c r="L18" s="10">
        <v>2024</v>
      </c>
      <c r="M18" s="21" t="s">
        <v>403</v>
      </c>
    </row>
    <row r="19" spans="1:13" x14ac:dyDescent="0.3">
      <c r="A19" s="20" t="s">
        <v>321</v>
      </c>
      <c r="B19" s="10" t="s">
        <v>322</v>
      </c>
      <c r="C19" s="10" t="s">
        <v>260</v>
      </c>
      <c r="D19" s="10" t="s">
        <v>32</v>
      </c>
      <c r="E19" s="10" t="s">
        <v>14</v>
      </c>
      <c r="F19" s="10" t="s">
        <v>213</v>
      </c>
      <c r="G19" s="10">
        <v>2</v>
      </c>
      <c r="H19" s="13">
        <v>20090</v>
      </c>
      <c r="I19" s="11">
        <v>40180</v>
      </c>
      <c r="J19" s="10" t="s">
        <v>22</v>
      </c>
      <c r="K19" s="10" t="s">
        <v>407</v>
      </c>
      <c r="L19" s="10">
        <v>2024</v>
      </c>
      <c r="M19" s="21" t="s">
        <v>403</v>
      </c>
    </row>
    <row r="20" spans="1:13" x14ac:dyDescent="0.3">
      <c r="A20" s="20" t="s">
        <v>321</v>
      </c>
      <c r="B20" s="10" t="s">
        <v>322</v>
      </c>
      <c r="C20" s="10" t="s">
        <v>260</v>
      </c>
      <c r="D20" s="10" t="s">
        <v>32</v>
      </c>
      <c r="E20" s="10" t="s">
        <v>26</v>
      </c>
      <c r="F20" s="10" t="s">
        <v>196</v>
      </c>
      <c r="G20" s="10">
        <v>2</v>
      </c>
      <c r="H20" s="13">
        <v>17880</v>
      </c>
      <c r="I20" s="11">
        <v>35760</v>
      </c>
      <c r="J20" s="10" t="s">
        <v>28</v>
      </c>
      <c r="K20" s="10" t="s">
        <v>407</v>
      </c>
      <c r="L20" s="10">
        <v>2024</v>
      </c>
      <c r="M20" s="21" t="s">
        <v>403</v>
      </c>
    </row>
    <row r="21" spans="1:13" x14ac:dyDescent="0.3">
      <c r="A21" s="20" t="s">
        <v>370</v>
      </c>
      <c r="B21" s="10" t="s">
        <v>371</v>
      </c>
      <c r="C21" s="10" t="s">
        <v>31</v>
      </c>
      <c r="D21" s="10" t="s">
        <v>32</v>
      </c>
      <c r="E21" s="10" t="s">
        <v>26</v>
      </c>
      <c r="F21" s="10" t="s">
        <v>150</v>
      </c>
      <c r="G21" s="10">
        <v>2</v>
      </c>
      <c r="H21" s="13">
        <v>13760</v>
      </c>
      <c r="I21" s="11">
        <v>27520</v>
      </c>
      <c r="J21" s="10" t="s">
        <v>28</v>
      </c>
      <c r="K21" s="10" t="s">
        <v>412</v>
      </c>
      <c r="L21" s="10">
        <v>2024</v>
      </c>
      <c r="M21" s="21" t="s">
        <v>403</v>
      </c>
    </row>
    <row r="22" spans="1:13" x14ac:dyDescent="0.3">
      <c r="A22" s="20" t="s">
        <v>116</v>
      </c>
      <c r="B22" s="10" t="s">
        <v>117</v>
      </c>
      <c r="C22" s="10" t="s">
        <v>118</v>
      </c>
      <c r="D22" s="10" t="s">
        <v>32</v>
      </c>
      <c r="E22" s="10" t="s">
        <v>26</v>
      </c>
      <c r="F22" s="10" t="s">
        <v>119</v>
      </c>
      <c r="G22" s="10">
        <v>1</v>
      </c>
      <c r="H22" s="13">
        <v>27160</v>
      </c>
      <c r="I22" s="11">
        <v>27160</v>
      </c>
      <c r="J22" s="10" t="s">
        <v>22</v>
      </c>
      <c r="K22" s="10" t="s">
        <v>407</v>
      </c>
      <c r="L22" s="10">
        <v>2024</v>
      </c>
      <c r="M22" s="21" t="s">
        <v>403</v>
      </c>
    </row>
    <row r="23" spans="1:13" x14ac:dyDescent="0.3">
      <c r="A23" s="20" t="s">
        <v>307</v>
      </c>
      <c r="B23" s="10" t="s">
        <v>161</v>
      </c>
      <c r="C23" s="10" t="s">
        <v>31</v>
      </c>
      <c r="D23" s="10" t="s">
        <v>32</v>
      </c>
      <c r="E23" s="10" t="s">
        <v>48</v>
      </c>
      <c r="F23" s="10" t="s">
        <v>250</v>
      </c>
      <c r="G23" s="10">
        <v>2</v>
      </c>
      <c r="H23" s="13">
        <v>12500</v>
      </c>
      <c r="I23" s="11">
        <v>25000</v>
      </c>
      <c r="J23" s="10" t="s">
        <v>22</v>
      </c>
      <c r="K23" s="10" t="s">
        <v>408</v>
      </c>
      <c r="L23" s="10">
        <v>2024</v>
      </c>
      <c r="M23" s="21" t="s">
        <v>403</v>
      </c>
    </row>
    <row r="24" spans="1:13" x14ac:dyDescent="0.3">
      <c r="A24" s="20" t="s">
        <v>352</v>
      </c>
      <c r="B24" s="10" t="s">
        <v>353</v>
      </c>
      <c r="C24" s="10" t="s">
        <v>189</v>
      </c>
      <c r="D24" s="10" t="s">
        <v>53</v>
      </c>
      <c r="E24" s="10" t="s">
        <v>48</v>
      </c>
      <c r="F24" s="10" t="s">
        <v>354</v>
      </c>
      <c r="G24" s="10">
        <v>5</v>
      </c>
      <c r="H24" s="13">
        <v>3470</v>
      </c>
      <c r="I24" s="11">
        <v>17350</v>
      </c>
      <c r="J24" s="10" t="s">
        <v>16</v>
      </c>
      <c r="K24" s="10" t="s">
        <v>410</v>
      </c>
      <c r="L24" s="10">
        <v>2024</v>
      </c>
      <c r="M24" s="21" t="s">
        <v>403</v>
      </c>
    </row>
    <row r="25" spans="1:13" x14ac:dyDescent="0.3">
      <c r="A25" s="20" t="s">
        <v>17</v>
      </c>
      <c r="B25" s="10" t="s">
        <v>18</v>
      </c>
      <c r="C25" s="10" t="s">
        <v>120</v>
      </c>
      <c r="D25" s="10" t="s">
        <v>47</v>
      </c>
      <c r="E25" s="10" t="s">
        <v>26</v>
      </c>
      <c r="F25" s="10" t="s">
        <v>121</v>
      </c>
      <c r="G25" s="10">
        <v>5</v>
      </c>
      <c r="H25" s="13">
        <v>2860</v>
      </c>
      <c r="I25" s="11">
        <v>14300</v>
      </c>
      <c r="J25" s="10" t="s">
        <v>22</v>
      </c>
      <c r="K25" s="10" t="s">
        <v>405</v>
      </c>
      <c r="L25" s="10">
        <v>2024</v>
      </c>
      <c r="M25" s="21" t="s">
        <v>403</v>
      </c>
    </row>
    <row r="26" spans="1:13" x14ac:dyDescent="0.3">
      <c r="A26" s="20" t="s">
        <v>151</v>
      </c>
      <c r="B26" s="10" t="s">
        <v>152</v>
      </c>
      <c r="C26" s="10" t="s">
        <v>31</v>
      </c>
      <c r="D26" s="10" t="s">
        <v>32</v>
      </c>
      <c r="E26" s="10" t="s">
        <v>26</v>
      </c>
      <c r="F26" s="10" t="s">
        <v>159</v>
      </c>
      <c r="G26" s="10">
        <v>1</v>
      </c>
      <c r="H26" s="13">
        <v>13320</v>
      </c>
      <c r="I26" s="11">
        <v>13320</v>
      </c>
      <c r="J26" s="10" t="s">
        <v>16</v>
      </c>
      <c r="K26" s="10" t="s">
        <v>408</v>
      </c>
      <c r="L26" s="10">
        <v>2024</v>
      </c>
      <c r="M26" s="21" t="s">
        <v>403</v>
      </c>
    </row>
    <row r="27" spans="1:13" x14ac:dyDescent="0.3">
      <c r="A27" s="20" t="s">
        <v>92</v>
      </c>
      <c r="B27" s="10" t="s">
        <v>93</v>
      </c>
      <c r="C27" s="10" t="s">
        <v>31</v>
      </c>
      <c r="D27" s="10" t="s">
        <v>32</v>
      </c>
      <c r="E27" s="10" t="s">
        <v>33</v>
      </c>
      <c r="F27" s="10" t="s">
        <v>212</v>
      </c>
      <c r="G27" s="10">
        <v>1</v>
      </c>
      <c r="H27" s="13">
        <v>12280</v>
      </c>
      <c r="I27" s="11">
        <v>12280</v>
      </c>
      <c r="J27" s="10" t="s">
        <v>22</v>
      </c>
      <c r="K27" s="10" t="s">
        <v>409</v>
      </c>
      <c r="L27" s="10">
        <v>2024</v>
      </c>
      <c r="M27" s="21" t="s">
        <v>403</v>
      </c>
    </row>
    <row r="28" spans="1:13" x14ac:dyDescent="0.3">
      <c r="A28" s="20" t="s">
        <v>307</v>
      </c>
      <c r="B28" s="10" t="s">
        <v>161</v>
      </c>
      <c r="C28" s="10" t="s">
        <v>70</v>
      </c>
      <c r="D28" s="10" t="s">
        <v>32</v>
      </c>
      <c r="E28" s="10" t="s">
        <v>48</v>
      </c>
      <c r="F28" s="10" t="s">
        <v>308</v>
      </c>
      <c r="G28" s="10">
        <v>5</v>
      </c>
      <c r="H28" s="13">
        <v>2260</v>
      </c>
      <c r="I28" s="11">
        <v>11300</v>
      </c>
      <c r="J28" s="10" t="s">
        <v>28</v>
      </c>
      <c r="K28" s="10" t="s">
        <v>407</v>
      </c>
      <c r="L28" s="10">
        <v>2024</v>
      </c>
      <c r="M28" s="21" t="s">
        <v>403</v>
      </c>
    </row>
    <row r="29" spans="1:13" x14ac:dyDescent="0.3">
      <c r="A29" s="20" t="s">
        <v>362</v>
      </c>
      <c r="B29" s="10" t="s">
        <v>363</v>
      </c>
      <c r="C29" s="10" t="s">
        <v>189</v>
      </c>
      <c r="D29" s="10" t="s">
        <v>53</v>
      </c>
      <c r="E29" s="10" t="s">
        <v>26</v>
      </c>
      <c r="F29" s="10" t="s">
        <v>382</v>
      </c>
      <c r="G29" s="10">
        <v>3</v>
      </c>
      <c r="H29" s="13">
        <v>3630</v>
      </c>
      <c r="I29" s="11">
        <v>10890</v>
      </c>
      <c r="J29" s="10" t="s">
        <v>22</v>
      </c>
      <c r="K29" s="10" t="s">
        <v>404</v>
      </c>
      <c r="L29" s="10">
        <v>2024</v>
      </c>
      <c r="M29" s="21" t="s">
        <v>403</v>
      </c>
    </row>
    <row r="30" spans="1:13" ht="15" thickBot="1" x14ac:dyDescent="0.35">
      <c r="A30" s="22" t="s">
        <v>187</v>
      </c>
      <c r="B30" s="23" t="s">
        <v>188</v>
      </c>
      <c r="C30" s="23" t="s">
        <v>286</v>
      </c>
      <c r="D30" s="23" t="s">
        <v>53</v>
      </c>
      <c r="E30" s="23" t="s">
        <v>33</v>
      </c>
      <c r="F30" s="23" t="s">
        <v>142</v>
      </c>
      <c r="G30" s="23">
        <v>4</v>
      </c>
      <c r="H30" s="24">
        <v>2600</v>
      </c>
      <c r="I30" s="25">
        <v>10400</v>
      </c>
      <c r="J30" s="23" t="s">
        <v>22</v>
      </c>
      <c r="K30" s="23" t="s">
        <v>405</v>
      </c>
      <c r="L30" s="23">
        <v>2024</v>
      </c>
      <c r="M30" s="26" t="s">
        <v>403</v>
      </c>
    </row>
  </sheetData>
  <sortState xmlns:xlrd2="http://schemas.microsoft.com/office/spreadsheetml/2017/richdata2" ref="A3:M30">
    <sortCondition descending="1" ref="I3:I30"/>
  </sortState>
  <mergeCells count="3">
    <mergeCell ref="A1:M1"/>
    <mergeCell ref="O1:R1"/>
    <mergeCell ref="O2: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5640F-6EC3-4983-83C1-0F6DAEA1C18F}">
  <dimension ref="A3:B73"/>
  <sheetViews>
    <sheetView zoomScale="42" workbookViewId="0">
      <selection activeCell="B3" sqref="B3"/>
    </sheetView>
  </sheetViews>
  <sheetFormatPr defaultRowHeight="14.4" x14ac:dyDescent="0.3"/>
  <cols>
    <col min="1" max="1" width="21.21875" bestFit="1" customWidth="1"/>
    <col min="2" max="2" width="31.88671875" bestFit="1" customWidth="1"/>
  </cols>
  <sheetData>
    <row r="3" spans="1:2" x14ac:dyDescent="0.3">
      <c r="A3" s="37" t="s">
        <v>413</v>
      </c>
      <c r="B3" t="s">
        <v>415</v>
      </c>
    </row>
    <row r="4" spans="1:2" x14ac:dyDescent="0.3">
      <c r="A4" s="38" t="s">
        <v>42</v>
      </c>
      <c r="B4" s="39">
        <v>43940</v>
      </c>
    </row>
    <row r="5" spans="1:2" x14ac:dyDescent="0.3">
      <c r="A5" s="38" t="s">
        <v>20</v>
      </c>
      <c r="B5" s="39">
        <v>41210</v>
      </c>
    </row>
    <row r="6" spans="1:2" x14ac:dyDescent="0.3">
      <c r="A6" s="38" t="s">
        <v>53</v>
      </c>
      <c r="B6" s="39">
        <v>122870</v>
      </c>
    </row>
    <row r="7" spans="1:2" x14ac:dyDescent="0.3">
      <c r="A7" s="38" t="s">
        <v>32</v>
      </c>
      <c r="B7" s="39">
        <v>1341240</v>
      </c>
    </row>
    <row r="8" spans="1:2" x14ac:dyDescent="0.3">
      <c r="A8" s="38" t="s">
        <v>13</v>
      </c>
      <c r="B8" s="39">
        <v>34750</v>
      </c>
    </row>
    <row r="9" spans="1:2" x14ac:dyDescent="0.3">
      <c r="A9" s="38" t="s">
        <v>74</v>
      </c>
      <c r="B9" s="39">
        <v>95110</v>
      </c>
    </row>
    <row r="10" spans="1:2" x14ac:dyDescent="0.3">
      <c r="A10" s="38" t="s">
        <v>47</v>
      </c>
      <c r="B10" s="39">
        <v>105090</v>
      </c>
    </row>
    <row r="11" spans="1:2" x14ac:dyDescent="0.3">
      <c r="A11" s="38" t="s">
        <v>414</v>
      </c>
      <c r="B11" s="39">
        <v>1784210</v>
      </c>
    </row>
    <row r="25" spans="1:2" x14ac:dyDescent="0.3">
      <c r="A25" s="37" t="s">
        <v>413</v>
      </c>
      <c r="B25" t="s">
        <v>415</v>
      </c>
    </row>
    <row r="26" spans="1:2" x14ac:dyDescent="0.3">
      <c r="A26" s="38" t="s">
        <v>33</v>
      </c>
      <c r="B26" s="39">
        <v>313170</v>
      </c>
    </row>
    <row r="27" spans="1:2" x14ac:dyDescent="0.3">
      <c r="A27" s="38" t="s">
        <v>48</v>
      </c>
      <c r="B27" s="39">
        <v>326820</v>
      </c>
    </row>
    <row r="28" spans="1:2" x14ac:dyDescent="0.3">
      <c r="A28" s="38" t="s">
        <v>26</v>
      </c>
      <c r="B28" s="39">
        <v>479580</v>
      </c>
    </row>
    <row r="29" spans="1:2" x14ac:dyDescent="0.3">
      <c r="A29" s="38" t="s">
        <v>14</v>
      </c>
      <c r="B29" s="39">
        <v>664640</v>
      </c>
    </row>
    <row r="30" spans="1:2" x14ac:dyDescent="0.3">
      <c r="A30" s="38" t="s">
        <v>414</v>
      </c>
      <c r="B30" s="39">
        <v>1784210</v>
      </c>
    </row>
    <row r="44" spans="1:2" x14ac:dyDescent="0.3">
      <c r="A44" s="37" t="s">
        <v>413</v>
      </c>
      <c r="B44" t="s">
        <v>415</v>
      </c>
    </row>
    <row r="45" spans="1:2" x14ac:dyDescent="0.3">
      <c r="A45" s="38" t="s">
        <v>412</v>
      </c>
      <c r="B45" s="39">
        <v>68790</v>
      </c>
    </row>
    <row r="46" spans="1:2" x14ac:dyDescent="0.3">
      <c r="A46" s="38" t="s">
        <v>411</v>
      </c>
      <c r="B46" s="39">
        <v>128430</v>
      </c>
    </row>
    <row r="47" spans="1:2" x14ac:dyDescent="0.3">
      <c r="A47" s="38" t="s">
        <v>407</v>
      </c>
      <c r="B47" s="39">
        <v>256410</v>
      </c>
    </row>
    <row r="48" spans="1:2" x14ac:dyDescent="0.3">
      <c r="A48" s="38" t="s">
        <v>405</v>
      </c>
      <c r="B48" s="39">
        <v>234450</v>
      </c>
    </row>
    <row r="49" spans="1:2" x14ac:dyDescent="0.3">
      <c r="A49" s="38" t="s">
        <v>402</v>
      </c>
      <c r="B49" s="39">
        <v>225820</v>
      </c>
    </row>
    <row r="50" spans="1:2" x14ac:dyDescent="0.3">
      <c r="A50" s="38" t="s">
        <v>408</v>
      </c>
      <c r="B50" s="39">
        <v>191760</v>
      </c>
    </row>
    <row r="51" spans="1:2" x14ac:dyDescent="0.3">
      <c r="A51" s="38" t="s">
        <v>416</v>
      </c>
      <c r="B51" s="39">
        <v>63530</v>
      </c>
    </row>
    <row r="52" spans="1:2" x14ac:dyDescent="0.3">
      <c r="A52" s="38" t="s">
        <v>406</v>
      </c>
      <c r="B52" s="39">
        <v>195450</v>
      </c>
    </row>
    <row r="53" spans="1:2" x14ac:dyDescent="0.3">
      <c r="A53" s="38" t="s">
        <v>404</v>
      </c>
      <c r="B53" s="39">
        <v>153890</v>
      </c>
    </row>
    <row r="54" spans="1:2" x14ac:dyDescent="0.3">
      <c r="A54" s="38" t="s">
        <v>410</v>
      </c>
      <c r="B54" s="39">
        <v>119910</v>
      </c>
    </row>
    <row r="55" spans="1:2" x14ac:dyDescent="0.3">
      <c r="A55" s="38" t="s">
        <v>409</v>
      </c>
      <c r="B55" s="39">
        <v>101910</v>
      </c>
    </row>
    <row r="56" spans="1:2" x14ac:dyDescent="0.3">
      <c r="A56" s="38" t="s">
        <v>417</v>
      </c>
      <c r="B56" s="39">
        <v>43860</v>
      </c>
    </row>
    <row r="57" spans="1:2" x14ac:dyDescent="0.3">
      <c r="A57" s="38" t="s">
        <v>414</v>
      </c>
      <c r="B57" s="39">
        <v>1784210</v>
      </c>
    </row>
    <row r="69" spans="1:2" x14ac:dyDescent="0.3">
      <c r="A69" s="37" t="s">
        <v>413</v>
      </c>
      <c r="B69" t="s">
        <v>415</v>
      </c>
    </row>
    <row r="70" spans="1:2" x14ac:dyDescent="0.3">
      <c r="A70" s="38" t="s">
        <v>16</v>
      </c>
      <c r="B70" s="39">
        <v>637640</v>
      </c>
    </row>
    <row r="71" spans="1:2" x14ac:dyDescent="0.3">
      <c r="A71" s="38" t="s">
        <v>22</v>
      </c>
      <c r="B71" s="39">
        <v>554140</v>
      </c>
    </row>
    <row r="72" spans="1:2" x14ac:dyDescent="0.3">
      <c r="A72" s="38" t="s">
        <v>28</v>
      </c>
      <c r="B72" s="39">
        <v>592430</v>
      </c>
    </row>
    <row r="73" spans="1:2" x14ac:dyDescent="0.3">
      <c r="A73" s="38" t="s">
        <v>414</v>
      </c>
      <c r="B73" s="39">
        <v>1784210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AA98-87AD-4DE4-B58D-FB1495880D5A}">
  <dimension ref="A1:AI47"/>
  <sheetViews>
    <sheetView showGridLines="0" tabSelected="1" topLeftCell="F1" zoomScale="95" zoomScaleNormal="95" workbookViewId="0">
      <selection activeCell="AQ51" sqref="AQ51"/>
    </sheetView>
  </sheetViews>
  <sheetFormatPr defaultRowHeight="14.4" x14ac:dyDescent="0.3"/>
  <sheetData>
    <row r="1" spans="1:35" ht="36.6" x14ac:dyDescent="0.7">
      <c r="A1" s="43" t="s">
        <v>418</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row>
    <row r="3" spans="1:35" ht="15" thickBot="1" x14ac:dyDescent="0.35"/>
    <row r="4" spans="1:35" ht="21.6" thickBot="1" x14ac:dyDescent="0.45">
      <c r="P4" s="40" t="s">
        <v>419</v>
      </c>
      <c r="Q4" s="41"/>
      <c r="R4" s="41"/>
      <c r="S4" s="41"/>
      <c r="T4" s="41"/>
      <c r="U4" s="42"/>
    </row>
    <row r="47" spans="24:24" x14ac:dyDescent="0.3">
      <c r="X47" s="9"/>
    </row>
  </sheetData>
  <mergeCells count="2">
    <mergeCell ref="P4:U4"/>
    <mergeCell ref="A1:AI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Analysis</vt:lpstr>
      <vt:lpstr>visuals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mehta</dc:creator>
  <cp:lastModifiedBy>kavya mehta</cp:lastModifiedBy>
  <cp:lastPrinted>2026-04-03T06:50:35Z</cp:lastPrinted>
  <dcterms:created xsi:type="dcterms:W3CDTF">2026-03-30T04:53:48Z</dcterms:created>
  <dcterms:modified xsi:type="dcterms:W3CDTF">2026-04-03T06:52:01Z</dcterms:modified>
</cp:coreProperties>
</file>